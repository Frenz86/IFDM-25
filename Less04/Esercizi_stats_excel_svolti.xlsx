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Il mio Drive\Lesson\IFOA\IFDM-25\repository\Less04\"/>
    </mc:Choice>
  </mc:AlternateContent>
  <xr:revisionPtr revIDLastSave="0" documentId="13_ncr:1_{3D60B97E-582A-43D8-8BD1-0D499CAF1586}" xr6:coauthVersionLast="47" xr6:coauthVersionMax="47" xr10:uidLastSave="{00000000-0000-0000-0000-000000000000}"/>
  <bookViews>
    <workbookView xWindow="-103" yWindow="-103" windowWidth="24892" windowHeight="14914" xr2:uid="{F9310AEA-2859-4D79-9939-B97DA7A01E19}"/>
  </bookViews>
  <sheets>
    <sheet name="Foglio1" sheetId="1" r:id="rId1"/>
    <sheet name="Foglio2" sheetId="2" r:id="rId2"/>
  </sheets>
  <definedNames>
    <definedName name="_xlnm._FilterDatabase" localSheetId="0" hidden="1">Foglio1!$J$2:$J$8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2" i="2"/>
  <c r="B13" i="2"/>
  <c r="B14" i="2"/>
  <c r="B10" i="2"/>
  <c r="A11" i="2"/>
  <c r="A12" i="2"/>
  <c r="A13" i="2"/>
  <c r="A14" i="2"/>
  <c r="A10" i="2"/>
  <c r="H5" i="1"/>
  <c r="H6" i="1"/>
  <c r="H7" i="1"/>
  <c r="B53" i="1"/>
  <c r="A53" i="1"/>
  <c r="C53" i="1" s="1"/>
  <c r="C21" i="1"/>
  <c r="B21" i="1"/>
  <c r="A21" i="1"/>
  <c r="B10" i="1"/>
  <c r="T56" i="1"/>
  <c r="T47" i="1"/>
  <c r="T33" i="1"/>
  <c r="T19" i="1"/>
  <c r="T10" i="1"/>
  <c r="H4" i="1"/>
  <c r="H8" i="1" s="1"/>
  <c r="F9" i="1"/>
  <c r="AK17" i="1"/>
  <c r="AB21" i="1"/>
  <c r="S19" i="1"/>
  <c r="AF19" i="1"/>
  <c r="AC6" i="1"/>
  <c r="AP33" i="1"/>
  <c r="AO33" i="1"/>
  <c r="AO42" i="1"/>
  <c r="AP42" i="1"/>
  <c r="AP51" i="1"/>
  <c r="AO51" i="1"/>
  <c r="AO19" i="1"/>
  <c r="AQ19" i="1" s="1"/>
  <c r="AP19" i="1"/>
  <c r="AP10" i="1"/>
  <c r="AO10" i="1"/>
  <c r="AQ10" i="1" s="1"/>
  <c r="AK41" i="1"/>
  <c r="AK33" i="1"/>
  <c r="AK25" i="1"/>
  <c r="AK9" i="1"/>
  <c r="AF56" i="1"/>
  <c r="AG56" i="1"/>
  <c r="AG42" i="1"/>
  <c r="AF42" i="1"/>
  <c r="AG33" i="1"/>
  <c r="AF33" i="1"/>
  <c r="AG19" i="1"/>
  <c r="AG10" i="1"/>
  <c r="AF10" i="1"/>
  <c r="AC26" i="1"/>
  <c r="AB26" i="1"/>
  <c r="AC21" i="1"/>
  <c r="AC16" i="1"/>
  <c r="AB16" i="1"/>
  <c r="AC11" i="1"/>
  <c r="AB11" i="1"/>
  <c r="AB6" i="1"/>
  <c r="X50" i="1"/>
  <c r="W50" i="1"/>
  <c r="X37" i="1"/>
  <c r="W37" i="1"/>
  <c r="X28" i="1"/>
  <c r="W28" i="1"/>
  <c r="X19" i="1"/>
  <c r="W19" i="1"/>
  <c r="W10" i="1"/>
  <c r="X10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59" i="1"/>
  <c r="S56" i="1"/>
  <c r="R56" i="1"/>
  <c r="S47" i="1"/>
  <c r="R47" i="1"/>
  <c r="S33" i="1"/>
  <c r="R33" i="1"/>
  <c r="R19" i="1"/>
  <c r="S10" i="1"/>
  <c r="R10" i="1"/>
  <c r="O33" i="1"/>
  <c r="N33" i="1"/>
  <c r="N51" i="1"/>
  <c r="O51" i="1"/>
  <c r="O42" i="1"/>
  <c r="N42" i="1"/>
  <c r="O19" i="1"/>
  <c r="N19" i="1"/>
  <c r="O10" i="1"/>
  <c r="N10" i="1"/>
  <c r="K58" i="1"/>
  <c r="J58" i="1"/>
  <c r="K49" i="1"/>
  <c r="J49" i="1"/>
  <c r="J38" i="1"/>
  <c r="K38" i="1"/>
  <c r="K24" i="1"/>
  <c r="J24" i="1"/>
  <c r="L9" i="1"/>
  <c r="K9" i="1"/>
  <c r="F41" i="1"/>
  <c r="G41" i="1" s="1"/>
  <c r="F32" i="1"/>
  <c r="G32" i="1" s="1"/>
  <c r="F23" i="1"/>
  <c r="G23" i="1" s="1"/>
  <c r="F15" i="1"/>
  <c r="G15" i="1" s="1"/>
  <c r="G9" i="1"/>
  <c r="A44" i="1"/>
  <c r="C44" i="1" s="1"/>
  <c r="B44" i="1"/>
  <c r="B35" i="1"/>
  <c r="A35" i="1"/>
  <c r="C35" i="1" s="1"/>
  <c r="A10" i="1"/>
  <c r="C10" i="1" s="1"/>
  <c r="T81" i="1" l="1"/>
  <c r="AQ51" i="1"/>
  <c r="AQ33" i="1"/>
  <c r="AQ42" i="1"/>
  <c r="AH56" i="1"/>
  <c r="AH42" i="1"/>
  <c r="AH10" i="1"/>
  <c r="AH33" i="1"/>
  <c r="AH19" i="1"/>
  <c r="X47" i="1"/>
  <c r="Y47" i="1" s="1"/>
  <c r="X48" i="1"/>
  <c r="Y48" i="1" s="1"/>
  <c r="X40" i="1"/>
  <c r="Y40" i="1" s="1"/>
  <c r="X42" i="1"/>
  <c r="Y42" i="1" s="1"/>
  <c r="X43" i="1"/>
  <c r="Y43" i="1" s="1"/>
  <c r="X44" i="1"/>
  <c r="Y44" i="1" s="1"/>
  <c r="X45" i="1"/>
  <c r="Y45" i="1" s="1"/>
  <c r="X46" i="1"/>
  <c r="Y46" i="1" s="1"/>
  <c r="X41" i="1"/>
  <c r="Y41" i="1" s="1"/>
  <c r="X24" i="1"/>
  <c r="Y24" i="1" s="1"/>
  <c r="X22" i="1"/>
  <c r="Y22" i="1" s="1"/>
  <c r="X23" i="1"/>
  <c r="Y23" i="1" s="1"/>
  <c r="X26" i="1"/>
  <c r="Y26" i="1" s="1"/>
  <c r="X25" i="1"/>
  <c r="Y25" i="1" s="1"/>
  <c r="X32" i="1"/>
  <c r="Y32" i="1" s="1"/>
  <c r="X33" i="1"/>
  <c r="Y33" i="1" s="1"/>
  <c r="X34" i="1"/>
  <c r="Y34" i="1" s="1"/>
  <c r="X35" i="1"/>
  <c r="Y35" i="1" s="1"/>
  <c r="X31" i="1"/>
  <c r="Y31" i="1" s="1"/>
  <c r="X14" i="1"/>
  <c r="Y14" i="1" s="1"/>
  <c r="X15" i="1"/>
  <c r="Y15" i="1" s="1"/>
  <c r="X16" i="1"/>
  <c r="Y16" i="1" s="1"/>
  <c r="X13" i="1"/>
  <c r="Y13" i="1" s="1"/>
  <c r="X17" i="1"/>
  <c r="Y17" i="1" s="1"/>
  <c r="X4" i="1"/>
  <c r="Y4" i="1" s="1"/>
  <c r="X5" i="1"/>
  <c r="Y5" i="1" s="1"/>
  <c r="X6" i="1"/>
  <c r="Y6" i="1" s="1"/>
  <c r="X7" i="1"/>
  <c r="Y7" i="1" s="1"/>
  <c r="X8" i="1"/>
  <c r="Y8" i="1" s="1"/>
  <c r="S81" i="1"/>
  <c r="R81" i="1"/>
  <c r="Y28" i="1" l="1"/>
  <c r="Y37" i="1"/>
  <c r="Y50" i="1"/>
  <c r="Y19" i="1"/>
  <c r="Y10" i="1"/>
</calcChain>
</file>

<file path=xl/sharedStrings.xml><?xml version="1.0" encoding="utf-8"?>
<sst xmlns="http://schemas.openxmlformats.org/spreadsheetml/2006/main" count="198" uniqueCount="39">
  <si>
    <t>valori</t>
  </si>
  <si>
    <t>somma</t>
  </si>
  <si>
    <t>media</t>
  </si>
  <si>
    <t>pesi</t>
  </si>
  <si>
    <t>somma prodotto</t>
  </si>
  <si>
    <t>media pesata</t>
  </si>
  <si>
    <t>ES2: CALCOLO  MEDIA PESATA</t>
  </si>
  <si>
    <t>ES1: CALCOLO MEDIA SEMPLICE</t>
  </si>
  <si>
    <t>moda</t>
  </si>
  <si>
    <t>ES3: CALCOLO MODA</t>
  </si>
  <si>
    <t>ES4: CALCOLO MEDIANA</t>
  </si>
  <si>
    <t>mediana</t>
  </si>
  <si>
    <t>ES5: CALCOLO DEVSTD</t>
  </si>
  <si>
    <t>devst</t>
  </si>
  <si>
    <t>varianza</t>
  </si>
  <si>
    <t>ES6: CALCOLO VARIANZA</t>
  </si>
  <si>
    <t>ES7: CALCOLO %</t>
  </si>
  <si>
    <t>%</t>
  </si>
  <si>
    <t>rif</t>
  </si>
  <si>
    <t>perc</t>
  </si>
  <si>
    <t>valore</t>
  </si>
  <si>
    <t>min</t>
  </si>
  <si>
    <t>max</t>
  </si>
  <si>
    <t>range</t>
  </si>
  <si>
    <t>ES8: CALCOLO RANGE</t>
  </si>
  <si>
    <t>ES9: CALCOLO CORRELAZ</t>
  </si>
  <si>
    <t>valori1</t>
  </si>
  <si>
    <t>valori2</t>
  </si>
  <si>
    <t>CORR</t>
  </si>
  <si>
    <t xml:space="preserve">ES10: CALCOLO ERRORE STD </t>
  </si>
  <si>
    <t>stdev</t>
  </si>
  <si>
    <t>err stand</t>
  </si>
  <si>
    <t>radobs</t>
  </si>
  <si>
    <t>mediaCALC</t>
  </si>
  <si>
    <t>devst_davar</t>
  </si>
  <si>
    <t>Prestito</t>
  </si>
  <si>
    <t>Tassi</t>
  </si>
  <si>
    <t>Interessi 5</t>
  </si>
  <si>
    <t>Interessi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</si>
</sst>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/>
    <xf numFmtId="0" fontId="0" fillId="5" borderId="0" xfId="0" applyFill="1"/>
    <xf numFmtId="0" fontId="2" fillId="0" borderId="0" xfId="0" applyFont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4" fontId="0" fillId="3" borderId="0" xfId="0" applyNumberFormat="1" applyFill="1"/>
    <xf numFmtId="164" fontId="0" fillId="2" borderId="0" xfId="0" applyNumberFormat="1" applyFill="1"/>
    <xf numFmtId="0" fontId="0" fillId="0" borderId="0" xfId="0" applyAlignment="1">
      <alignment horizontal="center"/>
    </xf>
    <xf numFmtId="0" fontId="3" fillId="6" borderId="0" xfId="0" applyFont="1" applyFill="1"/>
    <xf numFmtId="0" fontId="0" fillId="6" borderId="0" xfId="0" applyFill="1"/>
    <xf numFmtId="164" fontId="0" fillId="3" borderId="0" xfId="0" applyNumberFormat="1" applyFill="1" applyBorder="1" applyAlignment="1">
      <alignment horizontal="center"/>
    </xf>
    <xf numFmtId="0" fontId="0" fillId="6" borderId="1" xfId="0" applyFill="1" applyBorder="1"/>
    <xf numFmtId="0" fontId="0" fillId="0" borderId="1" xfId="0" applyBorder="1"/>
    <xf numFmtId="9" fontId="0" fillId="0" borderId="1" xfId="1" applyFont="1" applyBorder="1"/>
    <xf numFmtId="0" fontId="0" fillId="3" borderId="0" xfId="0" applyFill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62B6-0BC4-49FF-89DB-3C44999CED8C}">
  <dimension ref="A1:AS81"/>
  <sheetViews>
    <sheetView tabSelected="1" zoomScale="96" zoomScaleNormal="280" workbookViewId="0">
      <pane ySplit="1" topLeftCell="A34" activePane="bottomLeft" state="frozen"/>
      <selection pane="bottomLeft" activeCell="AP10" sqref="AP10"/>
    </sheetView>
  </sheetViews>
  <sheetFormatPr defaultRowHeight="14.6" x14ac:dyDescent="0.4"/>
  <cols>
    <col min="1" max="1" width="10.3046875" customWidth="1"/>
    <col min="4" max="4" width="13" customWidth="1"/>
    <col min="5" max="5" width="0.84375" style="5" customWidth="1"/>
    <col min="6" max="6" width="15.84375" customWidth="1"/>
    <col min="7" max="7" width="13.3046875" customWidth="1"/>
    <col min="8" max="8" width="10.53515625" customWidth="1"/>
    <col min="9" max="9" width="1" style="5" customWidth="1"/>
    <col min="12" max="12" width="10.3046875" customWidth="1"/>
    <col min="13" max="13" width="1" style="5" customWidth="1"/>
    <col min="16" max="16" width="13.84375" customWidth="1"/>
    <col min="17" max="17" width="0.84375" style="5" customWidth="1"/>
    <col min="19" max="19" width="9.84375" bestFit="1" customWidth="1"/>
    <col min="20" max="20" width="9.84375" customWidth="1"/>
    <col min="21" max="21" width="11.15234375" customWidth="1"/>
    <col min="22" max="22" width="0.84375" style="5" customWidth="1"/>
    <col min="23" max="23" width="12" customWidth="1"/>
    <col min="26" max="26" width="7" customWidth="1"/>
    <col min="27" max="27" width="1" style="17" customWidth="1"/>
    <col min="31" max="31" width="0.84375" style="5" customWidth="1"/>
    <col min="35" max="35" width="6.15234375" customWidth="1"/>
    <col min="36" max="36" width="1" style="17" customWidth="1"/>
    <col min="37" max="37" width="8.15234375" customWidth="1"/>
    <col min="38" max="38" width="8.53515625" customWidth="1"/>
    <col min="39" max="39" width="16.69140625" customWidth="1"/>
    <col min="40" max="40" width="0.84375" style="17" customWidth="1"/>
    <col min="42" max="42" width="7.3828125" customWidth="1"/>
    <col min="43" max="43" width="9.15234375" customWidth="1"/>
    <col min="45" max="45" width="0.84375" style="17" customWidth="1"/>
  </cols>
  <sheetData>
    <row r="1" spans="1:44" ht="20.6" x14ac:dyDescent="0.55000000000000004">
      <c r="A1" s="24" t="s">
        <v>7</v>
      </c>
      <c r="B1" s="25"/>
      <c r="C1" s="25"/>
      <c r="D1" s="25"/>
      <c r="F1" s="24" t="s">
        <v>6</v>
      </c>
      <c r="G1" s="25"/>
      <c r="H1" s="25"/>
      <c r="J1" s="24" t="s">
        <v>9</v>
      </c>
      <c r="K1" s="25"/>
      <c r="L1" s="25"/>
      <c r="N1" s="24" t="s">
        <v>10</v>
      </c>
      <c r="O1" s="25"/>
      <c r="P1" s="25"/>
      <c r="R1" s="24" t="s">
        <v>12</v>
      </c>
      <c r="S1" s="25"/>
      <c r="T1" s="25"/>
      <c r="U1" s="25"/>
      <c r="W1" s="24" t="s">
        <v>15</v>
      </c>
      <c r="X1" s="25"/>
      <c r="Y1" s="25"/>
      <c r="Z1" s="25"/>
      <c r="AB1" s="24" t="s">
        <v>16</v>
      </c>
      <c r="AC1" s="25"/>
      <c r="AD1" s="25"/>
      <c r="AF1" s="24" t="s">
        <v>24</v>
      </c>
      <c r="AG1" s="25"/>
      <c r="AH1" s="25"/>
      <c r="AI1" s="25"/>
      <c r="AK1" s="24" t="s">
        <v>25</v>
      </c>
      <c r="AL1" s="25"/>
      <c r="AM1" s="25"/>
      <c r="AO1" s="24" t="s">
        <v>29</v>
      </c>
      <c r="AP1" s="25"/>
      <c r="AQ1" s="25"/>
      <c r="AR1" s="25"/>
    </row>
    <row r="2" spans="1:44" x14ac:dyDescent="0.4">
      <c r="J2" s="7" t="s">
        <v>0</v>
      </c>
    </row>
    <row r="3" spans="1:44" x14ac:dyDescent="0.4">
      <c r="A3" s="7" t="s">
        <v>0</v>
      </c>
      <c r="F3" s="7" t="s">
        <v>0</v>
      </c>
      <c r="G3" s="7" t="s">
        <v>3</v>
      </c>
      <c r="J3" s="2">
        <v>10</v>
      </c>
      <c r="N3" s="7" t="s">
        <v>0</v>
      </c>
      <c r="R3" s="7" t="s">
        <v>0</v>
      </c>
      <c r="W3" s="7" t="s">
        <v>0</v>
      </c>
      <c r="AB3" s="7" t="s">
        <v>20</v>
      </c>
      <c r="AC3" s="7" t="s">
        <v>18</v>
      </c>
      <c r="AF3" s="7" t="s">
        <v>0</v>
      </c>
      <c r="AK3" s="7" t="s">
        <v>26</v>
      </c>
      <c r="AL3" s="7" t="s">
        <v>27</v>
      </c>
      <c r="AO3" s="7" t="s">
        <v>0</v>
      </c>
    </row>
    <row r="4" spans="1:44" x14ac:dyDescent="0.4">
      <c r="A4" s="2">
        <v>10</v>
      </c>
      <c r="F4" s="2">
        <v>10</v>
      </c>
      <c r="G4" s="2">
        <v>2</v>
      </c>
      <c r="H4">
        <f>F4*G4</f>
        <v>20</v>
      </c>
      <c r="J4" s="2">
        <v>20</v>
      </c>
      <c r="N4" s="2">
        <v>10</v>
      </c>
      <c r="R4" s="2">
        <v>5</v>
      </c>
      <c r="W4" s="2">
        <v>2</v>
      </c>
      <c r="X4" s="15">
        <f>$W$10</f>
        <v>6</v>
      </c>
      <c r="Y4" s="14">
        <f>(W4-X4)^2</f>
        <v>16</v>
      </c>
      <c r="AB4" s="2">
        <v>25</v>
      </c>
      <c r="AC4" s="2">
        <v>200</v>
      </c>
      <c r="AF4" s="2">
        <v>5</v>
      </c>
      <c r="AK4" s="2">
        <v>1</v>
      </c>
      <c r="AL4" s="2">
        <v>2</v>
      </c>
      <c r="AO4" s="2">
        <v>10</v>
      </c>
    </row>
    <row r="5" spans="1:44" x14ac:dyDescent="0.4">
      <c r="A5" s="2">
        <v>20</v>
      </c>
      <c r="F5" s="2">
        <v>20</v>
      </c>
      <c r="G5" s="2">
        <v>3</v>
      </c>
      <c r="H5">
        <f t="shared" ref="H5:H7" si="0">F5*G5</f>
        <v>60</v>
      </c>
      <c r="J5" s="2">
        <v>20</v>
      </c>
      <c r="N5" s="2">
        <v>20</v>
      </c>
      <c r="R5" s="2">
        <v>10</v>
      </c>
      <c r="W5" s="2">
        <v>4</v>
      </c>
      <c r="X5" s="15">
        <f t="shared" ref="X5:X8" si="1">$W$10</f>
        <v>6</v>
      </c>
      <c r="Y5" s="14">
        <f t="shared" ref="Y5:Y7" si="2">(W5-X5)^2</f>
        <v>4</v>
      </c>
      <c r="AB5" s="18" t="s">
        <v>19</v>
      </c>
      <c r="AC5" s="18" t="s">
        <v>17</v>
      </c>
      <c r="AF5" s="2">
        <v>10</v>
      </c>
      <c r="AK5" s="2">
        <v>2</v>
      </c>
      <c r="AL5" s="2">
        <v>4</v>
      </c>
      <c r="AO5" s="2">
        <v>20</v>
      </c>
    </row>
    <row r="6" spans="1:44" x14ac:dyDescent="0.4">
      <c r="A6" s="2">
        <v>30</v>
      </c>
      <c r="F6" s="2">
        <v>30</v>
      </c>
      <c r="G6" s="2">
        <v>4</v>
      </c>
      <c r="H6">
        <f t="shared" si="0"/>
        <v>120</v>
      </c>
      <c r="J6" s="2">
        <v>25</v>
      </c>
      <c r="N6" s="2">
        <v>30</v>
      </c>
      <c r="R6" s="2">
        <v>30</v>
      </c>
      <c r="W6" s="2">
        <v>6</v>
      </c>
      <c r="X6" s="15">
        <f t="shared" si="1"/>
        <v>6</v>
      </c>
      <c r="Y6" s="14">
        <f t="shared" si="2"/>
        <v>0</v>
      </c>
      <c r="AB6" s="19">
        <f>+AB4/AC4*100</f>
        <v>12.5</v>
      </c>
      <c r="AC6" s="20">
        <f>+AB4/AC4</f>
        <v>0.125</v>
      </c>
      <c r="AF6" s="2">
        <v>15</v>
      </c>
      <c r="AK6" s="2">
        <v>3</v>
      </c>
      <c r="AL6" s="2">
        <v>6</v>
      </c>
      <c r="AO6" s="2">
        <v>30</v>
      </c>
    </row>
    <row r="7" spans="1:44" x14ac:dyDescent="0.4">
      <c r="A7" s="2">
        <v>40</v>
      </c>
      <c r="F7" s="2">
        <v>40</v>
      </c>
      <c r="G7" s="2">
        <v>1</v>
      </c>
      <c r="H7">
        <f t="shared" si="0"/>
        <v>40</v>
      </c>
      <c r="J7" s="2">
        <v>30</v>
      </c>
      <c r="N7" s="2">
        <v>40</v>
      </c>
      <c r="R7" s="2">
        <v>50</v>
      </c>
      <c r="W7" s="2">
        <v>8</v>
      </c>
      <c r="X7" s="15">
        <f t="shared" si="1"/>
        <v>6</v>
      </c>
      <c r="Y7" s="14">
        <f t="shared" si="2"/>
        <v>4</v>
      </c>
      <c r="AF7" s="2">
        <v>20</v>
      </c>
      <c r="AK7" s="2">
        <v>4</v>
      </c>
      <c r="AL7" s="2">
        <v>8</v>
      </c>
      <c r="AO7" s="2">
        <v>40</v>
      </c>
    </row>
    <row r="8" spans="1:44" x14ac:dyDescent="0.4">
      <c r="A8" s="2">
        <v>50</v>
      </c>
      <c r="F8" s="1" t="s">
        <v>4</v>
      </c>
      <c r="G8" s="1" t="s">
        <v>5</v>
      </c>
      <c r="H8">
        <f>SUM(H4:H7)</f>
        <v>240</v>
      </c>
      <c r="J8" s="2">
        <v>40</v>
      </c>
      <c r="K8" s="1" t="s">
        <v>2</v>
      </c>
      <c r="L8" s="1" t="s">
        <v>8</v>
      </c>
      <c r="N8" s="2">
        <v>50</v>
      </c>
      <c r="R8" s="2">
        <v>95</v>
      </c>
      <c r="W8" s="2">
        <v>10</v>
      </c>
      <c r="X8" s="15">
        <f t="shared" si="1"/>
        <v>6</v>
      </c>
      <c r="Y8" s="14">
        <f>(W8-X8)^2</f>
        <v>16</v>
      </c>
      <c r="AB8" s="7" t="s">
        <v>20</v>
      </c>
      <c r="AC8" s="7" t="s">
        <v>18</v>
      </c>
      <c r="AF8" s="2">
        <v>25</v>
      </c>
      <c r="AK8" s="1" t="s">
        <v>28</v>
      </c>
      <c r="AO8" s="2">
        <v>50</v>
      </c>
    </row>
    <row r="9" spans="1:44" x14ac:dyDescent="0.4">
      <c r="A9" s="1" t="s">
        <v>1</v>
      </c>
      <c r="B9" s="1" t="s">
        <v>2</v>
      </c>
      <c r="C9" s="1" t="s">
        <v>33</v>
      </c>
      <c r="F9" s="4">
        <f>SUMPRODUCT(F4:F7,G4:G7)</f>
        <v>240</v>
      </c>
      <c r="G9" s="3">
        <f>+F9/SUM(G4:G7)</f>
        <v>24</v>
      </c>
      <c r="K9" s="26">
        <f>AVERAGE(J3:J8)</f>
        <v>24.166666666666668</v>
      </c>
      <c r="L9" s="3">
        <f>_xlfn.MODE.SNGL(J3:J8)</f>
        <v>20</v>
      </c>
      <c r="N9" s="1" t="s">
        <v>2</v>
      </c>
      <c r="O9" s="1" t="s">
        <v>11</v>
      </c>
      <c r="R9" s="1" t="s">
        <v>2</v>
      </c>
      <c r="S9" s="1" t="s">
        <v>13</v>
      </c>
      <c r="T9" s="1" t="s">
        <v>34</v>
      </c>
      <c r="W9" s="1" t="s">
        <v>2</v>
      </c>
      <c r="X9" s="1" t="s">
        <v>14</v>
      </c>
      <c r="AB9" s="2">
        <v>40</v>
      </c>
      <c r="AC9" s="2">
        <v>80</v>
      </c>
      <c r="AF9" s="1" t="s">
        <v>21</v>
      </c>
      <c r="AG9" s="1" t="s">
        <v>22</v>
      </c>
      <c r="AH9" s="1" t="s">
        <v>23</v>
      </c>
      <c r="AK9" s="10">
        <f>CORREL(AK4:AK7,AL4:AL7)</f>
        <v>0.99999999999999978</v>
      </c>
      <c r="AO9" s="1" t="s">
        <v>30</v>
      </c>
      <c r="AP9" s="1" t="s">
        <v>32</v>
      </c>
      <c r="AQ9" s="1" t="s">
        <v>31</v>
      </c>
    </row>
    <row r="10" spans="1:44" x14ac:dyDescent="0.4">
      <c r="A10" s="4">
        <f>SUM(A4:A8)</f>
        <v>150</v>
      </c>
      <c r="B10" s="3">
        <f>AVERAGE(A4:A8)</f>
        <v>30</v>
      </c>
      <c r="C10" s="23">
        <f>+A10/COUNTA(A4:A8)</f>
        <v>30</v>
      </c>
      <c r="N10" s="13">
        <f>AVERAGE(N4:N8)</f>
        <v>30</v>
      </c>
      <c r="O10" s="3">
        <f>MEDIAN(N4:N8)</f>
        <v>30</v>
      </c>
      <c r="R10" s="13">
        <f>AVERAGE(R4:R8)</f>
        <v>38</v>
      </c>
      <c r="S10" s="10">
        <f>_xlfn.STDEV.S(R4:R8)</f>
        <v>36.503424496887959</v>
      </c>
      <c r="T10" s="10">
        <f>SQRT(VAR(R4:R8))</f>
        <v>36.503424496887959</v>
      </c>
      <c r="W10" s="13">
        <f>AVERAGE(W4:W8)</f>
        <v>6</v>
      </c>
      <c r="X10" s="10">
        <f>VAR(W4:W8)</f>
        <v>10</v>
      </c>
      <c r="Y10" s="16">
        <f>SUM(Y4:Y8)/(COUNT(Y4:Y8)-1)</f>
        <v>10</v>
      </c>
      <c r="AB10" s="18" t="s">
        <v>19</v>
      </c>
      <c r="AC10" s="18" t="s">
        <v>17</v>
      </c>
      <c r="AF10" s="4">
        <f>MIN(AF4:AF8)</f>
        <v>5</v>
      </c>
      <c r="AG10" s="4">
        <f>MAX(AF4:AF8)</f>
        <v>25</v>
      </c>
      <c r="AH10" s="3">
        <f>+AG10-AF10</f>
        <v>20</v>
      </c>
      <c r="AO10" s="12">
        <f>_xlfn.STDEV.S(AO4:AO8)</f>
        <v>15.811388300841896</v>
      </c>
      <c r="AP10" s="21">
        <f>SQRT(COUNT(AO4:AO8))</f>
        <v>2.2360679774997898</v>
      </c>
      <c r="AQ10" s="22">
        <f>+AO10/AP10</f>
        <v>7.0710678118654746</v>
      </c>
    </row>
    <row r="11" spans="1:44" x14ac:dyDescent="0.4">
      <c r="C11" s="1"/>
      <c r="F11" s="8" t="s">
        <v>0</v>
      </c>
      <c r="G11" s="8" t="s">
        <v>3</v>
      </c>
      <c r="AB11" s="19">
        <f>+AB9/AC9*100</f>
        <v>50</v>
      </c>
      <c r="AC11" s="20">
        <f>+AB9/AC9</f>
        <v>0.5</v>
      </c>
      <c r="AK11" s="7" t="s">
        <v>26</v>
      </c>
      <c r="AL11" s="7" t="s">
        <v>27</v>
      </c>
    </row>
    <row r="12" spans="1:44" x14ac:dyDescent="0.4">
      <c r="A12" s="7" t="s">
        <v>0</v>
      </c>
      <c r="C12" s="1"/>
      <c r="F12" s="6">
        <v>15</v>
      </c>
      <c r="G12" s="6">
        <v>2</v>
      </c>
      <c r="N12" s="7" t="s">
        <v>0</v>
      </c>
      <c r="R12" s="7" t="s">
        <v>0</v>
      </c>
      <c r="W12" s="7" t="s">
        <v>0</v>
      </c>
      <c r="AF12" s="7" t="s">
        <v>0</v>
      </c>
      <c r="AK12" s="2">
        <v>10</v>
      </c>
      <c r="AL12" s="2">
        <v>20</v>
      </c>
      <c r="AO12" s="7" t="s">
        <v>0</v>
      </c>
    </row>
    <row r="13" spans="1:44" x14ac:dyDescent="0.4">
      <c r="A13" s="2">
        <v>25</v>
      </c>
      <c r="C13" s="1"/>
      <c r="F13" s="6">
        <v>25</v>
      </c>
      <c r="G13" s="6">
        <v>3</v>
      </c>
      <c r="J13" s="7" t="s">
        <v>0</v>
      </c>
      <c r="N13" s="2">
        <v>15</v>
      </c>
      <c r="R13" s="2">
        <v>10</v>
      </c>
      <c r="W13" s="2">
        <v>3</v>
      </c>
      <c r="X13" s="15">
        <f>$W$19</f>
        <v>9</v>
      </c>
      <c r="Y13" s="14">
        <f>(W13-X13)^2</f>
        <v>36</v>
      </c>
      <c r="AB13" s="7" t="s">
        <v>20</v>
      </c>
      <c r="AC13" s="7" t="s">
        <v>18</v>
      </c>
      <c r="AF13" s="2">
        <v>7</v>
      </c>
      <c r="AK13" s="2">
        <v>20</v>
      </c>
      <c r="AL13" s="2">
        <v>45</v>
      </c>
      <c r="AO13" s="2">
        <v>5</v>
      </c>
    </row>
    <row r="14" spans="1:44" x14ac:dyDescent="0.4">
      <c r="A14" s="2">
        <v>30</v>
      </c>
      <c r="C14" s="1"/>
      <c r="F14" s="1" t="s">
        <v>4</v>
      </c>
      <c r="G14" s="1" t="s">
        <v>5</v>
      </c>
      <c r="J14" s="2">
        <v>5</v>
      </c>
      <c r="N14" s="2">
        <v>25</v>
      </c>
      <c r="R14" s="2">
        <v>20</v>
      </c>
      <c r="W14" s="2">
        <v>6</v>
      </c>
      <c r="X14" s="15">
        <f t="shared" ref="X14:X17" si="3">$W$19</f>
        <v>9</v>
      </c>
      <c r="Y14" s="14">
        <f t="shared" ref="Y14:Y16" si="4">(W14-X14)^2</f>
        <v>9</v>
      </c>
      <c r="AB14" s="2">
        <v>15</v>
      </c>
      <c r="AC14" s="2">
        <v>60</v>
      </c>
      <c r="AF14" s="2">
        <v>14</v>
      </c>
      <c r="AK14" s="2">
        <v>30</v>
      </c>
      <c r="AL14" s="2">
        <v>80</v>
      </c>
      <c r="AO14" s="2">
        <v>10</v>
      </c>
    </row>
    <row r="15" spans="1:44" x14ac:dyDescent="0.4">
      <c r="A15" s="2">
        <v>35</v>
      </c>
      <c r="C15" s="1"/>
      <c r="F15" s="4">
        <f>SUMPRODUCT(F12:F13,G12:G13)</f>
        <v>105</v>
      </c>
      <c r="G15" s="3">
        <f>+F15/SUM(G12:G13)</f>
        <v>21</v>
      </c>
      <c r="J15" s="2">
        <v>10</v>
      </c>
      <c r="N15" s="2">
        <v>35</v>
      </c>
      <c r="R15" s="2">
        <v>30</v>
      </c>
      <c r="W15" s="2">
        <v>9</v>
      </c>
      <c r="X15" s="15">
        <f t="shared" si="3"/>
        <v>9</v>
      </c>
      <c r="Y15" s="14">
        <f t="shared" si="4"/>
        <v>0</v>
      </c>
      <c r="AB15" s="18" t="s">
        <v>19</v>
      </c>
      <c r="AC15" s="18" t="s">
        <v>17</v>
      </c>
      <c r="AF15" s="2">
        <v>21</v>
      </c>
      <c r="AK15" s="2">
        <v>40</v>
      </c>
      <c r="AL15" s="2">
        <v>65</v>
      </c>
      <c r="AO15" s="2">
        <v>15</v>
      </c>
    </row>
    <row r="16" spans="1:44" x14ac:dyDescent="0.4">
      <c r="A16" s="2">
        <v>40</v>
      </c>
      <c r="C16" s="1"/>
      <c r="J16" s="2">
        <v>15</v>
      </c>
      <c r="N16" s="2">
        <v>40</v>
      </c>
      <c r="R16" s="2">
        <v>40</v>
      </c>
      <c r="W16" s="2">
        <v>12</v>
      </c>
      <c r="X16" s="15">
        <f t="shared" si="3"/>
        <v>9</v>
      </c>
      <c r="Y16" s="14">
        <f t="shared" si="4"/>
        <v>9</v>
      </c>
      <c r="AB16" s="19">
        <f>+AB14/AC14*100</f>
        <v>25</v>
      </c>
      <c r="AC16" s="20">
        <f>+AB14/AC14</f>
        <v>0.25</v>
      </c>
      <c r="AF16" s="2">
        <v>28</v>
      </c>
      <c r="AK16" s="1" t="s">
        <v>28</v>
      </c>
      <c r="AO16" s="2">
        <v>20</v>
      </c>
    </row>
    <row r="17" spans="1:43" x14ac:dyDescent="0.4">
      <c r="A17" s="2">
        <v>45</v>
      </c>
      <c r="C17" s="1"/>
      <c r="F17" s="7" t="s">
        <v>0</v>
      </c>
      <c r="G17" s="7" t="s">
        <v>3</v>
      </c>
      <c r="J17" s="2">
        <v>20</v>
      </c>
      <c r="N17" s="2">
        <v>55</v>
      </c>
      <c r="R17" s="2">
        <v>50</v>
      </c>
      <c r="W17" s="2">
        <v>15</v>
      </c>
      <c r="X17" s="15">
        <f t="shared" si="3"/>
        <v>9</v>
      </c>
      <c r="Y17" s="14">
        <f>(W17-X17)^2</f>
        <v>36</v>
      </c>
      <c r="AF17" s="2">
        <v>35</v>
      </c>
      <c r="AK17" s="10">
        <f>CORREL(AK12:AK15,AL12:AL15)</f>
        <v>0.84473679149992054</v>
      </c>
      <c r="AO17" s="2">
        <v>25</v>
      </c>
    </row>
    <row r="18" spans="1:43" x14ac:dyDescent="0.4">
      <c r="A18" s="2">
        <v>50</v>
      </c>
      <c r="C18" s="1"/>
      <c r="F18" s="2">
        <v>200</v>
      </c>
      <c r="G18" s="2">
        <v>2</v>
      </c>
      <c r="J18" s="2">
        <v>40</v>
      </c>
      <c r="N18" s="1" t="s">
        <v>2</v>
      </c>
      <c r="O18" s="1" t="s">
        <v>11</v>
      </c>
      <c r="R18" s="1" t="s">
        <v>2</v>
      </c>
      <c r="S18" s="1" t="s">
        <v>13</v>
      </c>
      <c r="T18" s="1" t="s">
        <v>34</v>
      </c>
      <c r="W18" s="1" t="s">
        <v>2</v>
      </c>
      <c r="X18" s="1" t="s">
        <v>14</v>
      </c>
      <c r="AB18" s="7" t="s">
        <v>20</v>
      </c>
      <c r="AC18" s="7" t="s">
        <v>18</v>
      </c>
      <c r="AF18" s="1" t="s">
        <v>21</v>
      </c>
      <c r="AG18" s="1" t="s">
        <v>22</v>
      </c>
      <c r="AH18" s="1" t="s">
        <v>23</v>
      </c>
      <c r="AO18" s="1" t="s">
        <v>30</v>
      </c>
      <c r="AP18" s="1" t="s">
        <v>32</v>
      </c>
      <c r="AQ18" s="1" t="s">
        <v>31</v>
      </c>
    </row>
    <row r="19" spans="1:43" x14ac:dyDescent="0.4">
      <c r="A19" s="2">
        <v>55</v>
      </c>
      <c r="C19" s="1"/>
      <c r="F19" s="2">
        <v>300</v>
      </c>
      <c r="G19" s="2">
        <v>3</v>
      </c>
      <c r="J19" s="2">
        <v>25</v>
      </c>
      <c r="N19" s="13">
        <f>AVERAGE(N13:N17)</f>
        <v>34</v>
      </c>
      <c r="O19" s="3">
        <f>MEDIAN(N13:N17)</f>
        <v>35</v>
      </c>
      <c r="R19" s="13">
        <f>AVERAGE(R13:R17)</f>
        <v>30</v>
      </c>
      <c r="S19" s="10">
        <f>_xlfn.STDEV.S(R13:R17)</f>
        <v>15.811388300841896</v>
      </c>
      <c r="T19" s="10">
        <f>SQRT(VAR(R13:R17))</f>
        <v>15.811388300841896</v>
      </c>
      <c r="W19" s="13">
        <f>AVERAGE(W13:W17)</f>
        <v>9</v>
      </c>
      <c r="X19" s="10">
        <f>VAR(W13:W17)</f>
        <v>22.5</v>
      </c>
      <c r="Y19" s="16">
        <f>SUM(Y13:Y17)/(COUNT(Y13:Y17)-1)</f>
        <v>22.5</v>
      </c>
      <c r="AB19" s="2">
        <v>70</v>
      </c>
      <c r="AC19" s="2">
        <v>150</v>
      </c>
      <c r="AF19" s="4">
        <f>MIN(AF13:AF17)</f>
        <v>7</v>
      </c>
      <c r="AG19" s="4">
        <f>MAX(AF13:AF17)</f>
        <v>35</v>
      </c>
      <c r="AH19" s="3">
        <f>+AG19-AF19</f>
        <v>28</v>
      </c>
      <c r="AK19" s="7" t="s">
        <v>26</v>
      </c>
      <c r="AL19" s="7" t="s">
        <v>27</v>
      </c>
      <c r="AO19" s="12">
        <f>_xlfn.STDEV.S(AO13:AO17)</f>
        <v>7.9056941504209481</v>
      </c>
      <c r="AP19" s="21">
        <f>SQRT(COUNT(AO13:AO17))</f>
        <v>2.2360679774997898</v>
      </c>
      <c r="AQ19" s="22">
        <f>+AO19/AP19</f>
        <v>3.5355339059327373</v>
      </c>
    </row>
    <row r="20" spans="1:43" x14ac:dyDescent="0.4">
      <c r="A20" s="1" t="s">
        <v>1</v>
      </c>
      <c r="B20" s="1" t="s">
        <v>2</v>
      </c>
      <c r="C20" s="1" t="s">
        <v>33</v>
      </c>
      <c r="F20" s="2">
        <v>400</v>
      </c>
      <c r="G20" s="2">
        <v>4</v>
      </c>
      <c r="J20" s="2">
        <v>25</v>
      </c>
      <c r="AB20" s="18" t="s">
        <v>19</v>
      </c>
      <c r="AC20" s="18" t="s">
        <v>17</v>
      </c>
      <c r="AK20" s="2">
        <v>5</v>
      </c>
      <c r="AL20" s="2">
        <v>20</v>
      </c>
    </row>
    <row r="21" spans="1:43" x14ac:dyDescent="0.4">
      <c r="A21" s="4">
        <f>SUM(A13:A19)</f>
        <v>280</v>
      </c>
      <c r="B21" s="3">
        <f>AVERAGE(A13:A19)</f>
        <v>40</v>
      </c>
      <c r="C21" s="23">
        <f>+A21/COUNTA(A13:A19)</f>
        <v>40</v>
      </c>
      <c r="F21" s="2">
        <v>500</v>
      </c>
      <c r="G21" s="2">
        <v>1</v>
      </c>
      <c r="J21" s="2">
        <v>25</v>
      </c>
      <c r="N21" s="7" t="s">
        <v>0</v>
      </c>
      <c r="R21" s="7" t="s">
        <v>0</v>
      </c>
      <c r="W21" s="7" t="s">
        <v>0</v>
      </c>
      <c r="AB21" s="19">
        <f>+AB19/AC19*100</f>
        <v>46.666666666666664</v>
      </c>
      <c r="AC21" s="20">
        <f>+AB19/AC19</f>
        <v>0.46666666666666667</v>
      </c>
      <c r="AF21" s="7" t="s">
        <v>0</v>
      </c>
      <c r="AK21" s="2">
        <v>10</v>
      </c>
      <c r="AL21" s="2">
        <v>15</v>
      </c>
      <c r="AO21" s="7" t="s">
        <v>0</v>
      </c>
    </row>
    <row r="22" spans="1:43" x14ac:dyDescent="0.4">
      <c r="C22" s="1"/>
      <c r="F22" s="1" t="s">
        <v>4</v>
      </c>
      <c r="G22" s="1" t="s">
        <v>5</v>
      </c>
      <c r="J22" s="2">
        <v>20</v>
      </c>
      <c r="N22" s="2">
        <v>1</v>
      </c>
      <c r="R22" s="2">
        <v>1</v>
      </c>
      <c r="W22" s="2">
        <v>1</v>
      </c>
      <c r="X22" s="15">
        <f>$W$28</f>
        <v>3</v>
      </c>
      <c r="Y22" s="14">
        <f>(W22-X22)^2</f>
        <v>4</v>
      </c>
      <c r="AF22" s="2">
        <v>1</v>
      </c>
      <c r="AK22" s="2">
        <v>15</v>
      </c>
      <c r="AL22" s="2">
        <v>10</v>
      </c>
      <c r="AO22" s="2">
        <v>1</v>
      </c>
    </row>
    <row r="23" spans="1:43" x14ac:dyDescent="0.4">
      <c r="A23" s="7" t="s">
        <v>0</v>
      </c>
      <c r="C23" s="1"/>
      <c r="F23" s="4">
        <f>SUMPRODUCT(F18:F21,G18:G21)</f>
        <v>3400</v>
      </c>
      <c r="G23" s="3">
        <f>+F23/SUM(G18:G21)</f>
        <v>340</v>
      </c>
      <c r="J23" s="1" t="s">
        <v>2</v>
      </c>
      <c r="K23" s="1" t="s">
        <v>8</v>
      </c>
      <c r="N23" s="2">
        <v>2</v>
      </c>
      <c r="R23" s="2">
        <v>2</v>
      </c>
      <c r="W23" s="2">
        <v>2</v>
      </c>
      <c r="X23" s="15">
        <f t="shared" ref="X23:X26" si="5">$W$28</f>
        <v>3</v>
      </c>
      <c r="Y23" s="14">
        <f t="shared" ref="Y23:Y25" si="6">(W23-X23)^2</f>
        <v>1</v>
      </c>
      <c r="AB23" s="7" t="s">
        <v>20</v>
      </c>
      <c r="AC23" s="7" t="s">
        <v>18</v>
      </c>
      <c r="AF23" s="2">
        <v>2</v>
      </c>
      <c r="AK23" s="2">
        <v>20</v>
      </c>
      <c r="AL23" s="2">
        <v>5</v>
      </c>
      <c r="AO23" s="2">
        <v>2</v>
      </c>
    </row>
    <row r="24" spans="1:43" x14ac:dyDescent="0.4">
      <c r="A24" s="2">
        <v>1</v>
      </c>
      <c r="C24" s="1"/>
      <c r="J24" s="12">
        <f>AVERAGE(J14:J22)</f>
        <v>20.555555555555557</v>
      </c>
      <c r="K24" s="3">
        <f>_xlfn.MODE.SNGL(J14:J22)</f>
        <v>25</v>
      </c>
      <c r="N24" s="2">
        <v>3</v>
      </c>
      <c r="R24" s="2">
        <v>3</v>
      </c>
      <c r="W24" s="2">
        <v>3</v>
      </c>
      <c r="X24" s="15">
        <f t="shared" si="5"/>
        <v>3</v>
      </c>
      <c r="Y24" s="14">
        <f t="shared" si="6"/>
        <v>0</v>
      </c>
      <c r="AB24" s="2">
        <v>20</v>
      </c>
      <c r="AC24" s="2">
        <v>50</v>
      </c>
      <c r="AF24" s="2">
        <v>3</v>
      </c>
      <c r="AK24" s="1" t="s">
        <v>28</v>
      </c>
      <c r="AO24" s="2">
        <v>3</v>
      </c>
    </row>
    <row r="25" spans="1:43" x14ac:dyDescent="0.4">
      <c r="A25" s="2">
        <v>2</v>
      </c>
      <c r="C25" s="1"/>
      <c r="F25" s="7" t="s">
        <v>0</v>
      </c>
      <c r="G25" s="7" t="s">
        <v>3</v>
      </c>
      <c r="N25" s="2">
        <v>4</v>
      </c>
      <c r="R25" s="2">
        <v>4</v>
      </c>
      <c r="W25" s="2">
        <v>4</v>
      </c>
      <c r="X25" s="15">
        <f t="shared" si="5"/>
        <v>3</v>
      </c>
      <c r="Y25" s="14">
        <f t="shared" si="6"/>
        <v>1</v>
      </c>
      <c r="AB25" s="18" t="s">
        <v>19</v>
      </c>
      <c r="AC25" s="18" t="s">
        <v>17</v>
      </c>
      <c r="AF25" s="2">
        <v>4</v>
      </c>
      <c r="AK25" s="10">
        <f>CORREL(AK20:AK23,AL20:AL23)</f>
        <v>-0.99999999999999989</v>
      </c>
      <c r="AO25" s="2">
        <v>4</v>
      </c>
    </row>
    <row r="26" spans="1:43" x14ac:dyDescent="0.4">
      <c r="A26" s="2">
        <v>3</v>
      </c>
      <c r="C26" s="1"/>
      <c r="F26" s="2">
        <v>1</v>
      </c>
      <c r="G26" s="2">
        <v>1</v>
      </c>
      <c r="J26" s="7" t="s">
        <v>0</v>
      </c>
      <c r="N26" s="2">
        <v>5</v>
      </c>
      <c r="R26" s="2">
        <v>5</v>
      </c>
      <c r="W26" s="2">
        <v>5</v>
      </c>
      <c r="X26" s="15">
        <f t="shared" si="5"/>
        <v>3</v>
      </c>
      <c r="Y26" s="14">
        <f>(W26-X26)^2</f>
        <v>4</v>
      </c>
      <c r="AB26" s="19">
        <f>+AB24/AC24*100</f>
        <v>40</v>
      </c>
      <c r="AC26" s="20">
        <f>+AB24/AC24</f>
        <v>0.4</v>
      </c>
      <c r="AF26" s="2">
        <v>5</v>
      </c>
      <c r="AO26" s="2">
        <v>5</v>
      </c>
    </row>
    <row r="27" spans="1:43" x14ac:dyDescent="0.4">
      <c r="A27" s="2">
        <v>4</v>
      </c>
      <c r="C27" s="1"/>
      <c r="F27" s="2">
        <v>2</v>
      </c>
      <c r="G27" s="2">
        <v>2</v>
      </c>
      <c r="J27" s="2">
        <v>1</v>
      </c>
      <c r="N27" s="2">
        <v>6</v>
      </c>
      <c r="R27" s="2">
        <v>6</v>
      </c>
      <c r="W27" s="1" t="s">
        <v>2</v>
      </c>
      <c r="X27" s="1" t="s">
        <v>14</v>
      </c>
      <c r="AF27" s="2">
        <v>6</v>
      </c>
      <c r="AK27" s="7" t="s">
        <v>26</v>
      </c>
      <c r="AL27" s="7" t="s">
        <v>27</v>
      </c>
      <c r="AO27" s="2">
        <v>6</v>
      </c>
    </row>
    <row r="28" spans="1:43" x14ac:dyDescent="0.4">
      <c r="A28" s="2">
        <v>5</v>
      </c>
      <c r="C28" s="1"/>
      <c r="F28" s="2">
        <v>3</v>
      </c>
      <c r="G28" s="2">
        <v>3</v>
      </c>
      <c r="J28" s="2">
        <v>2</v>
      </c>
      <c r="N28" s="2">
        <v>7</v>
      </c>
      <c r="R28" s="2">
        <v>7</v>
      </c>
      <c r="W28" s="13">
        <f>AVERAGE(W22:W26)</f>
        <v>3</v>
      </c>
      <c r="X28" s="10">
        <f>VAR(W22:W26)</f>
        <v>2.5</v>
      </c>
      <c r="Y28" s="16">
        <f>SUM(Y22:Y26)/(COUNT(Y22:Y26)-1)</f>
        <v>2.5</v>
      </c>
      <c r="AF28" s="2">
        <v>7</v>
      </c>
      <c r="AK28" s="2">
        <v>1</v>
      </c>
      <c r="AL28" s="2">
        <v>5</v>
      </c>
      <c r="AO28" s="2">
        <v>7</v>
      </c>
    </row>
    <row r="29" spans="1:43" x14ac:dyDescent="0.4">
      <c r="A29" s="2">
        <v>6</v>
      </c>
      <c r="C29" s="1"/>
      <c r="F29" s="2">
        <v>4</v>
      </c>
      <c r="G29" s="2">
        <v>4</v>
      </c>
      <c r="J29" s="2">
        <v>3</v>
      </c>
      <c r="N29" s="2">
        <v>8</v>
      </c>
      <c r="R29" s="2">
        <v>8</v>
      </c>
      <c r="AF29" s="2">
        <v>8</v>
      </c>
      <c r="AK29" s="2">
        <v>2</v>
      </c>
      <c r="AL29" s="2">
        <v>10</v>
      </c>
      <c r="AO29" s="2">
        <v>8</v>
      </c>
    </row>
    <row r="30" spans="1:43" x14ac:dyDescent="0.4">
      <c r="A30" s="2">
        <v>7</v>
      </c>
      <c r="C30" s="1"/>
      <c r="F30" s="2">
        <v>5</v>
      </c>
      <c r="G30" s="2">
        <v>5</v>
      </c>
      <c r="J30" s="2">
        <v>4</v>
      </c>
      <c r="N30" s="2">
        <v>9</v>
      </c>
      <c r="R30" s="2">
        <v>9</v>
      </c>
      <c r="W30" s="7" t="s">
        <v>0</v>
      </c>
      <c r="AF30" s="2">
        <v>9</v>
      </c>
      <c r="AK30" s="2">
        <v>3</v>
      </c>
      <c r="AL30" s="2">
        <v>15</v>
      </c>
      <c r="AO30" s="2">
        <v>9</v>
      </c>
    </row>
    <row r="31" spans="1:43" x14ac:dyDescent="0.4">
      <c r="A31" s="2">
        <v>8</v>
      </c>
      <c r="C31" s="1"/>
      <c r="F31" s="1" t="s">
        <v>4</v>
      </c>
      <c r="G31" s="1" t="s">
        <v>5</v>
      </c>
      <c r="J31" s="2">
        <v>5</v>
      </c>
      <c r="N31" s="2">
        <v>10</v>
      </c>
      <c r="R31" s="2">
        <v>10</v>
      </c>
      <c r="W31" s="2">
        <v>5</v>
      </c>
      <c r="X31" s="15">
        <f>$W$37</f>
        <v>15</v>
      </c>
      <c r="Y31" s="14">
        <f>(W31-X31)^2</f>
        <v>100</v>
      </c>
      <c r="AF31" s="2">
        <v>10</v>
      </c>
      <c r="AK31" s="2">
        <v>4</v>
      </c>
      <c r="AL31" s="2">
        <v>20</v>
      </c>
      <c r="AO31" s="2">
        <v>10</v>
      </c>
    </row>
    <row r="32" spans="1:43" x14ac:dyDescent="0.4">
      <c r="A32" s="2">
        <v>9</v>
      </c>
      <c r="C32" s="1"/>
      <c r="F32" s="4">
        <f>SUMPRODUCT(F26:F30,G26:G30)</f>
        <v>55</v>
      </c>
      <c r="G32" s="9">
        <f>+F32/SUM(G26:G30)</f>
        <v>3.6666666666666665</v>
      </c>
      <c r="J32" s="2">
        <v>6</v>
      </c>
      <c r="N32" s="1" t="s">
        <v>2</v>
      </c>
      <c r="O32" s="1" t="s">
        <v>11</v>
      </c>
      <c r="R32" s="1" t="s">
        <v>2</v>
      </c>
      <c r="S32" s="1" t="s">
        <v>13</v>
      </c>
      <c r="T32" s="1" t="s">
        <v>34</v>
      </c>
      <c r="W32" s="2">
        <v>10</v>
      </c>
      <c r="X32" s="15">
        <f t="shared" ref="X32:X35" si="7">$W$37</f>
        <v>15</v>
      </c>
      <c r="Y32" s="14">
        <f t="shared" ref="Y32:Y34" si="8">(W32-X32)^2</f>
        <v>25</v>
      </c>
      <c r="AF32" s="1" t="s">
        <v>21</v>
      </c>
      <c r="AG32" s="1" t="s">
        <v>22</v>
      </c>
      <c r="AH32" s="1" t="s">
        <v>23</v>
      </c>
      <c r="AK32" s="1" t="s">
        <v>28</v>
      </c>
      <c r="AO32" s="1" t="s">
        <v>30</v>
      </c>
      <c r="AP32" s="1" t="s">
        <v>32</v>
      </c>
      <c r="AQ32" s="1" t="s">
        <v>31</v>
      </c>
    </row>
    <row r="33" spans="1:43" x14ac:dyDescent="0.4">
      <c r="A33" s="2">
        <v>10</v>
      </c>
      <c r="C33" s="1"/>
      <c r="J33" s="2">
        <v>7</v>
      </c>
      <c r="N33" s="13">
        <f>AVERAGE(N22:N31)</f>
        <v>5.5</v>
      </c>
      <c r="O33" s="3">
        <f>MEDIAN(N22:N31)</f>
        <v>5.5</v>
      </c>
      <c r="R33" s="13">
        <f>AVERAGE(R22:R31)</f>
        <v>5.5</v>
      </c>
      <c r="S33" s="10">
        <f>_xlfn.STDEV.S(R22:R31)</f>
        <v>3.0276503540974917</v>
      </c>
      <c r="T33" s="10">
        <f>SQRT(VAR(R22:R31))</f>
        <v>3.0276503540974917</v>
      </c>
      <c r="W33" s="2">
        <v>15</v>
      </c>
      <c r="X33" s="15">
        <f t="shared" si="7"/>
        <v>15</v>
      </c>
      <c r="Y33" s="14">
        <f t="shared" si="8"/>
        <v>0</v>
      </c>
      <c r="AF33" s="4">
        <f>MIN(AF22:AF31)</f>
        <v>1</v>
      </c>
      <c r="AG33" s="4">
        <f>MAX(AF22:AF31)</f>
        <v>10</v>
      </c>
      <c r="AH33" s="3">
        <f>+AG33-AF33</f>
        <v>9</v>
      </c>
      <c r="AK33" s="10">
        <f>CORREL(AK28:AK31,AL28:AL31)</f>
        <v>0.99999999999999989</v>
      </c>
      <c r="AO33" s="12">
        <f>_xlfn.STDEV.S(AO22:AO31)</f>
        <v>3.0276503540974917</v>
      </c>
      <c r="AP33" s="21">
        <f>SQRT(COUNT(AO22:AO31))</f>
        <v>3.1622776601683795</v>
      </c>
      <c r="AQ33" s="22">
        <f>+AO33/AP33</f>
        <v>0.9574271077563381</v>
      </c>
    </row>
    <row r="34" spans="1:43" x14ac:dyDescent="0.4">
      <c r="A34" s="1" t="s">
        <v>1</v>
      </c>
      <c r="B34" s="1" t="s">
        <v>2</v>
      </c>
      <c r="C34" s="1" t="s">
        <v>33</v>
      </c>
      <c r="F34" s="7" t="s">
        <v>0</v>
      </c>
      <c r="G34" s="7" t="s">
        <v>3</v>
      </c>
      <c r="J34" s="2">
        <v>8</v>
      </c>
      <c r="W34" s="2">
        <v>20</v>
      </c>
      <c r="X34" s="15">
        <f t="shared" si="7"/>
        <v>15</v>
      </c>
      <c r="Y34" s="14">
        <f t="shared" si="8"/>
        <v>25</v>
      </c>
    </row>
    <row r="35" spans="1:43" x14ac:dyDescent="0.4">
      <c r="A35" s="4">
        <f>SUM(A24:A33)</f>
        <v>55</v>
      </c>
      <c r="B35" s="3">
        <f>AVERAGE(A24:A33)</f>
        <v>5.5</v>
      </c>
      <c r="C35" s="23">
        <f>+A35/COUNTA(A24:A33)</f>
        <v>5.5</v>
      </c>
      <c r="F35" s="2">
        <v>10</v>
      </c>
      <c r="G35" s="2">
        <v>2</v>
      </c>
      <c r="J35" s="2">
        <v>9</v>
      </c>
      <c r="N35" s="7" t="s">
        <v>0</v>
      </c>
      <c r="R35" s="7" t="s">
        <v>0</v>
      </c>
      <c r="W35" s="2">
        <v>25</v>
      </c>
      <c r="X35" s="15">
        <f t="shared" si="7"/>
        <v>15</v>
      </c>
      <c r="Y35" s="14">
        <f>(W35-X35)^2</f>
        <v>100</v>
      </c>
      <c r="AF35" s="7" t="s">
        <v>0</v>
      </c>
      <c r="AK35" s="7" t="s">
        <v>26</v>
      </c>
      <c r="AL35" s="7" t="s">
        <v>26</v>
      </c>
      <c r="AO35" s="7" t="s">
        <v>0</v>
      </c>
    </row>
    <row r="36" spans="1:43" x14ac:dyDescent="0.4">
      <c r="C36" s="1"/>
      <c r="F36" s="2">
        <v>15</v>
      </c>
      <c r="G36" s="2">
        <v>2</v>
      </c>
      <c r="J36" s="2">
        <v>10</v>
      </c>
      <c r="N36" s="2">
        <v>12</v>
      </c>
      <c r="R36" s="2">
        <v>1</v>
      </c>
      <c r="W36" s="1" t="s">
        <v>2</v>
      </c>
      <c r="X36" s="1" t="s">
        <v>14</v>
      </c>
      <c r="AF36" s="2">
        <v>12</v>
      </c>
      <c r="AK36" s="2">
        <v>2</v>
      </c>
      <c r="AL36" s="2">
        <v>4</v>
      </c>
      <c r="AO36" s="2">
        <v>12</v>
      </c>
    </row>
    <row r="37" spans="1:43" x14ac:dyDescent="0.4">
      <c r="A37" s="7" t="s">
        <v>0</v>
      </c>
      <c r="C37" s="1"/>
      <c r="F37" s="2">
        <v>20</v>
      </c>
      <c r="G37" s="2">
        <v>2</v>
      </c>
      <c r="J37" s="1" t="s">
        <v>2</v>
      </c>
      <c r="K37" s="1" t="s">
        <v>8</v>
      </c>
      <c r="N37" s="2">
        <v>15</v>
      </c>
      <c r="R37" s="2">
        <v>2</v>
      </c>
      <c r="W37" s="13">
        <f>AVERAGE(W31:W35)</f>
        <v>15</v>
      </c>
      <c r="X37" s="10">
        <f>VAR(W31:W35)</f>
        <v>62.5</v>
      </c>
      <c r="Y37" s="16">
        <f>SUM(Y31:Y35)/(COUNT(Y31:Y35)-1)</f>
        <v>62.5</v>
      </c>
      <c r="AF37" s="2">
        <v>24</v>
      </c>
      <c r="AK37" s="2">
        <v>4</v>
      </c>
      <c r="AL37" s="2">
        <v>4</v>
      </c>
      <c r="AO37" s="2">
        <v>15</v>
      </c>
    </row>
    <row r="38" spans="1:43" x14ac:dyDescent="0.4">
      <c r="A38" s="2">
        <v>12</v>
      </c>
      <c r="C38" s="1"/>
      <c r="F38" s="2">
        <v>25</v>
      </c>
      <c r="G38" s="2">
        <v>2</v>
      </c>
      <c r="J38" s="12">
        <f>AVERAGE(J27:J36)</f>
        <v>5.5</v>
      </c>
      <c r="K38" s="3" t="e">
        <f>_xlfn.MODE.SNGL(J27:J35)</f>
        <v>#N/A</v>
      </c>
      <c r="N38" s="2">
        <v>18</v>
      </c>
      <c r="R38" s="2">
        <v>3</v>
      </c>
      <c r="AF38" s="2">
        <v>36</v>
      </c>
      <c r="AK38" s="2">
        <v>6</v>
      </c>
      <c r="AL38" s="2">
        <v>5</v>
      </c>
      <c r="AO38" s="2">
        <v>18</v>
      </c>
    </row>
    <row r="39" spans="1:43" x14ac:dyDescent="0.4">
      <c r="A39" s="2">
        <v>15</v>
      </c>
      <c r="C39" s="1"/>
      <c r="F39" s="2">
        <v>30</v>
      </c>
      <c r="G39" s="2">
        <v>2</v>
      </c>
      <c r="N39" s="2">
        <v>18</v>
      </c>
      <c r="R39" s="2">
        <v>4</v>
      </c>
      <c r="W39" s="7" t="s">
        <v>0</v>
      </c>
      <c r="AF39" s="2">
        <v>48</v>
      </c>
      <c r="AK39" s="2">
        <v>8</v>
      </c>
      <c r="AL39" s="2">
        <v>4</v>
      </c>
      <c r="AO39" s="2">
        <v>21</v>
      </c>
    </row>
    <row r="40" spans="1:43" x14ac:dyDescent="0.4">
      <c r="A40" s="2">
        <v>18</v>
      </c>
      <c r="C40" s="1"/>
      <c r="F40" s="1" t="s">
        <v>4</v>
      </c>
      <c r="G40" s="1" t="s">
        <v>5</v>
      </c>
      <c r="J40" s="7" t="s">
        <v>0</v>
      </c>
      <c r="N40" s="2">
        <v>59</v>
      </c>
      <c r="R40" s="2">
        <v>5</v>
      </c>
      <c r="W40" s="2">
        <v>1</v>
      </c>
      <c r="X40" s="15">
        <f>$W$50</f>
        <v>5</v>
      </c>
      <c r="Y40" s="14">
        <f>(W40-X40)^2</f>
        <v>16</v>
      </c>
      <c r="AF40" s="2">
        <v>60</v>
      </c>
      <c r="AK40" s="1" t="s">
        <v>28</v>
      </c>
      <c r="AO40" s="2">
        <v>24</v>
      </c>
    </row>
    <row r="41" spans="1:43" x14ac:dyDescent="0.4">
      <c r="A41" s="2">
        <v>21</v>
      </c>
      <c r="C41" s="1"/>
      <c r="F41" s="4">
        <f>SUMPRODUCT(F35:F39,G35:G39)</f>
        <v>200</v>
      </c>
      <c r="G41" s="11">
        <f>+F41/SUM(G35:G39)</f>
        <v>20</v>
      </c>
      <c r="J41" s="2">
        <v>12</v>
      </c>
      <c r="N41" s="1" t="s">
        <v>2</v>
      </c>
      <c r="O41" s="1" t="s">
        <v>11</v>
      </c>
      <c r="R41" s="2">
        <v>6</v>
      </c>
      <c r="W41" s="2">
        <v>2</v>
      </c>
      <c r="X41" s="15">
        <f t="shared" ref="X41:X48" si="9">$W$50</f>
        <v>5</v>
      </c>
      <c r="Y41" s="14">
        <f t="shared" ref="Y41:Y48" si="10">(W41-X41)^2</f>
        <v>9</v>
      </c>
      <c r="AF41" s="1" t="s">
        <v>21</v>
      </c>
      <c r="AG41" s="1" t="s">
        <v>22</v>
      </c>
      <c r="AH41" s="1" t="s">
        <v>23</v>
      </c>
      <c r="AK41" s="10">
        <f>CORREL(AK36:AK39,AL36:AL39)</f>
        <v>0.2581988897471611</v>
      </c>
      <c r="AO41" s="1" t="s">
        <v>30</v>
      </c>
      <c r="AP41" s="1" t="s">
        <v>32</v>
      </c>
      <c r="AQ41" s="1" t="s">
        <v>31</v>
      </c>
    </row>
    <row r="42" spans="1:43" x14ac:dyDescent="0.4">
      <c r="A42" s="2">
        <v>24</v>
      </c>
      <c r="C42" s="1"/>
      <c r="J42" s="2">
        <v>15</v>
      </c>
      <c r="N42" s="13">
        <f>AVERAGE(N36:N40)</f>
        <v>24.4</v>
      </c>
      <c r="O42" s="3">
        <f>MEDIAN(N36:N40)</f>
        <v>18</v>
      </c>
      <c r="R42" s="2">
        <v>7</v>
      </c>
      <c r="W42" s="2">
        <v>3</v>
      </c>
      <c r="X42" s="15">
        <f t="shared" si="9"/>
        <v>5</v>
      </c>
      <c r="Y42" s="14">
        <f t="shared" si="10"/>
        <v>4</v>
      </c>
      <c r="AF42" s="4">
        <f>MIN(AF36:AF40)</f>
        <v>12</v>
      </c>
      <c r="AG42" s="4">
        <f>MAX(AF36:AF40)</f>
        <v>60</v>
      </c>
      <c r="AH42" s="3">
        <f>+AG42-AF42</f>
        <v>48</v>
      </c>
      <c r="AO42" s="12">
        <f>_xlfn.STDEV.S(AO36:AO40)</f>
        <v>4.7434164902525691</v>
      </c>
      <c r="AP42" s="21">
        <f>SQRT(COUNT(AO36:AO40))</f>
        <v>2.2360679774997898</v>
      </c>
      <c r="AQ42" s="22">
        <f>+AO42/AP42</f>
        <v>2.1213203435596424</v>
      </c>
    </row>
    <row r="43" spans="1:43" x14ac:dyDescent="0.4">
      <c r="A43" s="1" t="s">
        <v>1</v>
      </c>
      <c r="B43" s="1" t="s">
        <v>2</v>
      </c>
      <c r="C43" s="1" t="s">
        <v>33</v>
      </c>
      <c r="J43" s="2">
        <v>18</v>
      </c>
      <c r="R43" s="2">
        <v>8</v>
      </c>
      <c r="W43" s="2">
        <v>4</v>
      </c>
      <c r="X43" s="15">
        <f t="shared" si="9"/>
        <v>5</v>
      </c>
      <c r="Y43" s="14">
        <f t="shared" si="10"/>
        <v>1</v>
      </c>
    </row>
    <row r="44" spans="1:43" x14ac:dyDescent="0.4">
      <c r="A44" s="4">
        <f>SUM(A38:A42)</f>
        <v>90</v>
      </c>
      <c r="B44" s="3">
        <f>AVERAGE(A38:A42)</f>
        <v>18</v>
      </c>
      <c r="C44" s="23">
        <f>+A44/COUNTA(A38:A42)</f>
        <v>18</v>
      </c>
      <c r="J44" s="2">
        <v>21</v>
      </c>
      <c r="N44" s="7" t="s">
        <v>0</v>
      </c>
      <c r="R44" s="2">
        <v>9</v>
      </c>
      <c r="W44" s="2">
        <v>5</v>
      </c>
      <c r="X44" s="15">
        <f t="shared" si="9"/>
        <v>5</v>
      </c>
      <c r="Y44" s="14">
        <f t="shared" si="10"/>
        <v>0</v>
      </c>
      <c r="AF44" s="7" t="s">
        <v>0</v>
      </c>
      <c r="AO44" s="7" t="s">
        <v>0</v>
      </c>
    </row>
    <row r="45" spans="1:43" x14ac:dyDescent="0.4">
      <c r="C45" s="1"/>
      <c r="J45" s="2">
        <v>18</v>
      </c>
      <c r="N45" s="2">
        <v>1</v>
      </c>
      <c r="R45" s="2">
        <v>10</v>
      </c>
      <c r="W45" s="2">
        <v>6</v>
      </c>
      <c r="X45" s="15">
        <f t="shared" si="9"/>
        <v>5</v>
      </c>
      <c r="Y45" s="14">
        <f t="shared" si="10"/>
        <v>1</v>
      </c>
      <c r="AF45" s="2">
        <v>1</v>
      </c>
      <c r="AO45" s="2">
        <v>2</v>
      </c>
    </row>
    <row r="46" spans="1:43" x14ac:dyDescent="0.4">
      <c r="A46" s="7" t="s">
        <v>0</v>
      </c>
      <c r="C46" s="1"/>
      <c r="J46" s="2">
        <v>24</v>
      </c>
      <c r="N46" s="2">
        <v>3</v>
      </c>
      <c r="R46" s="1" t="s">
        <v>2</v>
      </c>
      <c r="S46" s="1" t="s">
        <v>13</v>
      </c>
      <c r="T46" s="1" t="s">
        <v>34</v>
      </c>
      <c r="W46" s="2">
        <v>7</v>
      </c>
      <c r="X46" s="15">
        <f t="shared" si="9"/>
        <v>5</v>
      </c>
      <c r="Y46" s="14">
        <f t="shared" si="10"/>
        <v>4</v>
      </c>
      <c r="AF46" s="2">
        <v>3</v>
      </c>
      <c r="AO46" s="2">
        <v>4</v>
      </c>
    </row>
    <row r="47" spans="1:43" x14ac:dyDescent="0.4">
      <c r="A47" s="6">
        <v>1</v>
      </c>
      <c r="C47" s="1"/>
      <c r="J47" s="2">
        <v>18</v>
      </c>
      <c r="N47" s="2">
        <v>5</v>
      </c>
      <c r="R47" s="13">
        <f>AVERAGE(R36:R45)</f>
        <v>5.5</v>
      </c>
      <c r="S47" s="10">
        <f>_xlfn.STDEV.S(R36:R45)</f>
        <v>3.0276503540974917</v>
      </c>
      <c r="T47" s="10">
        <f>SQRT(VAR(R36:R45))</f>
        <v>3.0276503540974917</v>
      </c>
      <c r="W47" s="2">
        <v>8</v>
      </c>
      <c r="X47" s="15">
        <f t="shared" si="9"/>
        <v>5</v>
      </c>
      <c r="Y47" s="14">
        <f t="shared" si="10"/>
        <v>9</v>
      </c>
      <c r="AF47" s="2">
        <v>5</v>
      </c>
      <c r="AO47" s="2">
        <v>6</v>
      </c>
    </row>
    <row r="48" spans="1:43" x14ac:dyDescent="0.4">
      <c r="A48" s="6">
        <v>3</v>
      </c>
      <c r="C48" s="1"/>
      <c r="J48" s="1" t="s">
        <v>2</v>
      </c>
      <c r="K48" s="1" t="s">
        <v>8</v>
      </c>
      <c r="N48" s="2">
        <v>7</v>
      </c>
      <c r="W48" s="2">
        <v>9</v>
      </c>
      <c r="X48" s="15">
        <f t="shared" si="9"/>
        <v>5</v>
      </c>
      <c r="Y48" s="14">
        <f t="shared" si="10"/>
        <v>16</v>
      </c>
      <c r="AF48" s="2">
        <v>7</v>
      </c>
      <c r="AO48" s="2">
        <v>8</v>
      </c>
    </row>
    <row r="49" spans="1:43" x14ac:dyDescent="0.4">
      <c r="A49" s="6">
        <v>5</v>
      </c>
      <c r="C49" s="1"/>
      <c r="J49" s="13">
        <f>AVERAGE(J41:J47)</f>
        <v>18</v>
      </c>
      <c r="K49" s="3">
        <f>_xlfn.MODE.SNGL(J41:J47)</f>
        <v>18</v>
      </c>
      <c r="N49" s="2">
        <v>9</v>
      </c>
      <c r="R49" s="7" t="s">
        <v>0</v>
      </c>
      <c r="W49" s="1" t="s">
        <v>2</v>
      </c>
      <c r="X49" s="1" t="s">
        <v>14</v>
      </c>
      <c r="AF49" s="2">
        <v>9</v>
      </c>
      <c r="AO49" s="2">
        <v>10</v>
      </c>
    </row>
    <row r="50" spans="1:43" x14ac:dyDescent="0.4">
      <c r="A50" s="6">
        <v>7</v>
      </c>
      <c r="C50" s="1"/>
      <c r="N50" s="1" t="s">
        <v>2</v>
      </c>
      <c r="O50" s="1" t="s">
        <v>11</v>
      </c>
      <c r="R50" s="2">
        <v>1</v>
      </c>
      <c r="W50" s="13">
        <f>AVERAGE(W40:W48)</f>
        <v>5</v>
      </c>
      <c r="X50" s="10">
        <f>VAR(W40:W48)</f>
        <v>7.5</v>
      </c>
      <c r="Y50" s="16">
        <f>SUM(Y40:Y48)/(COUNT(Y40:Y48)-1)</f>
        <v>7.5</v>
      </c>
      <c r="AF50" s="2">
        <v>11</v>
      </c>
      <c r="AO50" s="1" t="s">
        <v>30</v>
      </c>
      <c r="AP50" s="1" t="s">
        <v>32</v>
      </c>
      <c r="AQ50" s="1" t="s">
        <v>31</v>
      </c>
    </row>
    <row r="51" spans="1:43" x14ac:dyDescent="0.4">
      <c r="A51" s="6">
        <v>9</v>
      </c>
      <c r="C51" s="1"/>
      <c r="J51" s="7" t="s">
        <v>0</v>
      </c>
      <c r="N51" s="13">
        <f>AVERAGE(N45:N49)</f>
        <v>5</v>
      </c>
      <c r="O51" s="3">
        <f>MEDIAN(N45:N49)</f>
        <v>5</v>
      </c>
      <c r="R51" s="2">
        <v>3</v>
      </c>
      <c r="AF51" s="2">
        <v>13</v>
      </c>
      <c r="AO51" s="12">
        <f>_xlfn.STDEV.S(AO45:AO49)</f>
        <v>3.1622776601683795</v>
      </c>
      <c r="AP51" s="21">
        <f>SQRT(COUNT(AO45:AO49))</f>
        <v>2.2360679774997898</v>
      </c>
      <c r="AQ51" s="22">
        <f>+AO51/AP51</f>
        <v>1.4142135623730951</v>
      </c>
    </row>
    <row r="52" spans="1:43" x14ac:dyDescent="0.4">
      <c r="A52" s="1" t="s">
        <v>1</v>
      </c>
      <c r="B52" s="1" t="s">
        <v>2</v>
      </c>
      <c r="C52" s="1" t="s">
        <v>33</v>
      </c>
      <c r="J52" s="2">
        <v>2</v>
      </c>
      <c r="R52" s="2">
        <v>5</v>
      </c>
      <c r="AF52" s="2">
        <v>15</v>
      </c>
    </row>
    <row r="53" spans="1:43" x14ac:dyDescent="0.4">
      <c r="A53" s="4">
        <f>SUM(A47:A51)</f>
        <v>25</v>
      </c>
      <c r="B53" s="3">
        <f>AVERAGE(A47:A51)</f>
        <v>5</v>
      </c>
      <c r="C53" s="23">
        <f>+A53/COUNTA(A47:A51)</f>
        <v>5</v>
      </c>
      <c r="J53" s="2">
        <v>4</v>
      </c>
      <c r="R53" s="2">
        <v>7</v>
      </c>
      <c r="AF53" s="2">
        <v>17</v>
      </c>
    </row>
    <row r="54" spans="1:43" x14ac:dyDescent="0.4">
      <c r="C54" s="1"/>
      <c r="J54" s="2">
        <v>6</v>
      </c>
      <c r="R54" s="2">
        <v>9</v>
      </c>
      <c r="AF54" s="2">
        <v>19</v>
      </c>
    </row>
    <row r="55" spans="1:43" x14ac:dyDescent="0.4">
      <c r="C55" s="1"/>
      <c r="J55" s="2">
        <v>8</v>
      </c>
      <c r="R55" s="1" t="s">
        <v>2</v>
      </c>
      <c r="S55" s="1" t="s">
        <v>13</v>
      </c>
      <c r="T55" s="1" t="s">
        <v>34</v>
      </c>
      <c r="AF55" s="1" t="s">
        <v>21</v>
      </c>
      <c r="AG55" s="1" t="s">
        <v>22</v>
      </c>
      <c r="AH55" s="1" t="s">
        <v>23</v>
      </c>
    </row>
    <row r="56" spans="1:43" x14ac:dyDescent="0.4">
      <c r="C56" s="1"/>
      <c r="J56" s="2">
        <v>10</v>
      </c>
      <c r="R56" s="13">
        <f>AVERAGE(R50:R54)</f>
        <v>5</v>
      </c>
      <c r="S56" s="10">
        <f>_xlfn.STDEV.S(R50:R54)</f>
        <v>3.1622776601683795</v>
      </c>
      <c r="T56" s="10">
        <f>SQRT(VAR(R50:R54))</f>
        <v>3.1622776601683795</v>
      </c>
      <c r="AF56" s="4">
        <f>MIN(AF45:AF54)</f>
        <v>1</v>
      </c>
      <c r="AG56" s="4">
        <f>MAX(AF45:AF54)</f>
        <v>19</v>
      </c>
      <c r="AH56" s="3">
        <f>+AG56-AF56</f>
        <v>18</v>
      </c>
    </row>
    <row r="57" spans="1:43" x14ac:dyDescent="0.4">
      <c r="C57" s="1"/>
      <c r="J57" s="1" t="s">
        <v>2</v>
      </c>
      <c r="K57" s="1" t="s">
        <v>8</v>
      </c>
    </row>
    <row r="58" spans="1:43" x14ac:dyDescent="0.4">
      <c r="C58" s="1"/>
      <c r="J58" s="12">
        <f>AVERAGE(J52:J56)</f>
        <v>6</v>
      </c>
      <c r="K58" s="3" t="e">
        <f>_xlfn.MODE.SNGL(J52:J56)</f>
        <v>#N/A</v>
      </c>
      <c r="R58" s="7" t="s">
        <v>0</v>
      </c>
    </row>
    <row r="59" spans="1:43" x14ac:dyDescent="0.4">
      <c r="C59" s="1"/>
      <c r="R59" s="2">
        <f ca="1">RANDBETWEEN(1,10)</f>
        <v>5</v>
      </c>
    </row>
    <row r="60" spans="1:43" x14ac:dyDescent="0.4">
      <c r="C60" s="1"/>
      <c r="R60" s="2">
        <f t="shared" ref="R60:R79" ca="1" si="11">RANDBETWEEN(1,10)</f>
        <v>5</v>
      </c>
    </row>
    <row r="61" spans="1:43" x14ac:dyDescent="0.4">
      <c r="C61" s="1"/>
      <c r="R61" s="2">
        <f t="shared" ca="1" si="11"/>
        <v>8</v>
      </c>
    </row>
    <row r="62" spans="1:43" x14ac:dyDescent="0.4">
      <c r="C62" s="1"/>
      <c r="R62" s="2">
        <f t="shared" ca="1" si="11"/>
        <v>7</v>
      </c>
    </row>
    <row r="63" spans="1:43" x14ac:dyDescent="0.4">
      <c r="C63" s="1"/>
      <c r="R63" s="2">
        <f t="shared" ca="1" si="11"/>
        <v>3</v>
      </c>
    </row>
    <row r="64" spans="1:43" x14ac:dyDescent="0.4">
      <c r="C64" s="1"/>
      <c r="R64" s="2">
        <f t="shared" ca="1" si="11"/>
        <v>9</v>
      </c>
    </row>
    <row r="65" spans="3:20" x14ac:dyDescent="0.4">
      <c r="C65" s="1"/>
      <c r="R65" s="2">
        <f t="shared" ca="1" si="11"/>
        <v>8</v>
      </c>
    </row>
    <row r="66" spans="3:20" x14ac:dyDescent="0.4">
      <c r="C66" s="1"/>
      <c r="R66" s="2">
        <f t="shared" ca="1" si="11"/>
        <v>3</v>
      </c>
    </row>
    <row r="67" spans="3:20" x14ac:dyDescent="0.4">
      <c r="C67" s="1"/>
      <c r="R67" s="2">
        <f t="shared" ca="1" si="11"/>
        <v>8</v>
      </c>
    </row>
    <row r="68" spans="3:20" x14ac:dyDescent="0.4">
      <c r="C68" s="1"/>
      <c r="R68" s="2">
        <f t="shared" ca="1" si="11"/>
        <v>9</v>
      </c>
    </row>
    <row r="69" spans="3:20" x14ac:dyDescent="0.4">
      <c r="C69" s="1"/>
      <c r="R69" s="2">
        <f t="shared" ca="1" si="11"/>
        <v>8</v>
      </c>
    </row>
    <row r="70" spans="3:20" x14ac:dyDescent="0.4">
      <c r="C70" s="1"/>
      <c r="R70" s="2">
        <f t="shared" ca="1" si="11"/>
        <v>8</v>
      </c>
    </row>
    <row r="71" spans="3:20" x14ac:dyDescent="0.4">
      <c r="C71" s="1"/>
      <c r="R71" s="2">
        <f t="shared" ca="1" si="11"/>
        <v>1</v>
      </c>
    </row>
    <row r="72" spans="3:20" x14ac:dyDescent="0.4">
      <c r="C72" s="1"/>
      <c r="R72" s="2">
        <f t="shared" ca="1" si="11"/>
        <v>1</v>
      </c>
    </row>
    <row r="73" spans="3:20" x14ac:dyDescent="0.4">
      <c r="C73" s="1"/>
      <c r="R73" s="2">
        <f t="shared" ca="1" si="11"/>
        <v>7</v>
      </c>
    </row>
    <row r="74" spans="3:20" x14ac:dyDescent="0.4">
      <c r="R74" s="2">
        <f t="shared" ca="1" si="11"/>
        <v>3</v>
      </c>
    </row>
    <row r="75" spans="3:20" x14ac:dyDescent="0.4">
      <c r="R75" s="2">
        <f t="shared" ca="1" si="11"/>
        <v>2</v>
      </c>
    </row>
    <row r="76" spans="3:20" x14ac:dyDescent="0.4">
      <c r="R76" s="2">
        <f t="shared" ca="1" si="11"/>
        <v>7</v>
      </c>
    </row>
    <row r="77" spans="3:20" x14ac:dyDescent="0.4">
      <c r="R77" s="2">
        <f t="shared" ca="1" si="11"/>
        <v>2</v>
      </c>
    </row>
    <row r="78" spans="3:20" x14ac:dyDescent="0.4">
      <c r="R78" s="2">
        <f t="shared" ca="1" si="11"/>
        <v>1</v>
      </c>
    </row>
    <row r="79" spans="3:20" x14ac:dyDescent="0.4">
      <c r="R79" s="2">
        <f t="shared" ca="1" si="11"/>
        <v>4</v>
      </c>
    </row>
    <row r="80" spans="3:20" x14ac:dyDescent="0.4">
      <c r="R80" s="1" t="s">
        <v>1</v>
      </c>
      <c r="S80" s="1" t="s">
        <v>13</v>
      </c>
      <c r="T80" s="1" t="s">
        <v>34</v>
      </c>
    </row>
    <row r="81" spans="18:20" x14ac:dyDescent="0.4">
      <c r="R81" s="13">
        <f ca="1">AVERAGE(R59:R79)</f>
        <v>5.1904761904761907</v>
      </c>
      <c r="S81" s="10">
        <f ca="1">_xlfn.STDEV.S(R59:R79)</f>
        <v>2.8916958280401412</v>
      </c>
      <c r="T81" s="10">
        <f ca="1">SQRT(VAR(R59:R79))</f>
        <v>2.8916958280401412</v>
      </c>
    </row>
  </sheetData>
  <autoFilter ref="J2:J8" xr:uid="{207462B6-0BC4-49FF-89DB-3C44999CED8C}">
    <sortState xmlns:xlrd2="http://schemas.microsoft.com/office/spreadsheetml/2017/richdata2" ref="J3:J8">
      <sortCondition ref="J2:J8"/>
    </sortState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57FD-CF9E-4B9F-84EE-25EC00816FA9}">
  <dimension ref="A1:B14"/>
  <sheetViews>
    <sheetView zoomScale="199" workbookViewId="0">
      <selection activeCell="B14" sqref="B14"/>
    </sheetView>
  </sheetViews>
  <sheetFormatPr defaultRowHeight="14.6" x14ac:dyDescent="0.4"/>
  <cols>
    <col min="2" max="2" width="10.69140625" customWidth="1"/>
  </cols>
  <sheetData>
    <row r="1" spans="1:2" x14ac:dyDescent="0.4">
      <c r="A1" s="27" t="s">
        <v>35</v>
      </c>
      <c r="B1" s="27" t="s">
        <v>36</v>
      </c>
    </row>
    <row r="2" spans="1:2" x14ac:dyDescent="0.4">
      <c r="A2" s="28">
        <v>2432432</v>
      </c>
      <c r="B2" s="29">
        <v>0.05</v>
      </c>
    </row>
    <row r="3" spans="1:2" x14ac:dyDescent="0.4">
      <c r="A3" s="28">
        <v>4343</v>
      </c>
      <c r="B3" s="29">
        <v>0.02</v>
      </c>
    </row>
    <row r="4" spans="1:2" x14ac:dyDescent="0.4">
      <c r="A4" s="28">
        <v>543</v>
      </c>
      <c r="B4" s="28"/>
    </row>
    <row r="5" spans="1:2" x14ac:dyDescent="0.4">
      <c r="A5" s="28">
        <v>423432</v>
      </c>
      <c r="B5" s="28"/>
    </row>
    <row r="6" spans="1:2" x14ac:dyDescent="0.4">
      <c r="A6" s="28">
        <v>54354</v>
      </c>
      <c r="B6" s="28"/>
    </row>
    <row r="9" spans="1:2" x14ac:dyDescent="0.4">
      <c r="A9" s="30" t="s">
        <v>37</v>
      </c>
      <c r="B9" s="30" t="s">
        <v>38</v>
      </c>
    </row>
    <row r="10" spans="1:2" x14ac:dyDescent="0.4">
      <c r="A10">
        <f>+A2*$B$2</f>
        <v>121621.6</v>
      </c>
      <c r="B10">
        <f>+A2*$B$3</f>
        <v>48648.639999999999</v>
      </c>
    </row>
    <row r="11" spans="1:2" x14ac:dyDescent="0.4">
      <c r="A11">
        <f t="shared" ref="A11:A15" si="0">+A3*$B$2</f>
        <v>217.15</v>
      </c>
      <c r="B11">
        <f t="shared" ref="B11:B14" si="1">+A3*$B$3</f>
        <v>86.86</v>
      </c>
    </row>
    <row r="12" spans="1:2" x14ac:dyDescent="0.4">
      <c r="A12">
        <f t="shared" si="0"/>
        <v>27.150000000000002</v>
      </c>
      <c r="B12">
        <f t="shared" si="1"/>
        <v>10.86</v>
      </c>
    </row>
    <row r="13" spans="1:2" x14ac:dyDescent="0.4">
      <c r="A13">
        <f t="shared" si="0"/>
        <v>21171.600000000002</v>
      </c>
      <c r="B13">
        <f t="shared" si="1"/>
        <v>8468.64</v>
      </c>
    </row>
    <row r="14" spans="1:2" x14ac:dyDescent="0.4">
      <c r="A14">
        <f t="shared" si="0"/>
        <v>2717.7000000000003</v>
      </c>
      <c r="B14">
        <f t="shared" si="1"/>
        <v>1087.08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2024-06-09T10:41:01Z</dcterms:created>
  <dcterms:modified xsi:type="dcterms:W3CDTF">2025-09-09T11:01:06Z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2024-06-09T10:41:04Z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8dc5fe71-e333-4d49-91a4-52147410791d</vt:lpwstr>
  </property>
  <property fmtid="{D5CDD505-2E9C-101B-9397-08002B2CF9AE}" pid="8" name="MSIP_Label_defa4170-0d19-0005-0004-bc88714345d2_ContentBits">
    <vt:lpwstr>0</vt:lpwstr>
  </property>
</Properties>
</file>
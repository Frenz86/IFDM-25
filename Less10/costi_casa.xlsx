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8_{AF4BB35A-3090-4597-96C1-0F4B189777A4}" xr6:coauthVersionLast="47" xr6:coauthVersionMax="47" xr10:uidLastSave="{00000000-0000-0000-0000-000000000000}"/>
  <bookViews>
    <workbookView xWindow="-103" yWindow="-103" windowWidth="24892" windowHeight="14914" activeTab="1" xr2:uid="{5E9F900B-3EE3-4B93-9A71-9E1243C21F86}"/>
  </bookViews>
  <sheets>
    <sheet name="Sheet2" sheetId="4" r:id="rId1"/>
    <sheet name="costi_casa" sheetId="1" r:id="rId2"/>
  </sheets>
  <calcPr calcId="0"/>
</workbook>
</file>

<file path=xl/calcChain.xml><?xml version="1.0" encoding="utf-8"?>
<calcChain xmlns="http://schemas.openxmlformats.org/spreadsheetml/2006/main">
  <c r="E3" i="1" l="1"/>
  <c r="F3" i="1" s="1"/>
  <c r="G3" i="1" s="1"/>
  <c r="E4" i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E11" i="1"/>
  <c r="F11" i="1" s="1"/>
  <c r="G11" i="1" s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E24" i="1"/>
  <c r="F24" i="1" s="1"/>
  <c r="G24" i="1" s="1"/>
  <c r="E25" i="1"/>
  <c r="F25" i="1" s="1"/>
  <c r="G25" i="1" s="1"/>
  <c r="E26" i="1"/>
  <c r="F26" i="1" s="1"/>
  <c r="G26" i="1" s="1"/>
  <c r="E27" i="1"/>
  <c r="F27" i="1" s="1"/>
  <c r="G27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2" i="1"/>
  <c r="F2" i="1" s="1"/>
  <c r="G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5B14D-43D4-44A5-A7E8-9870CC04D567}" keepAlive="1" name="Query - costi_casa" description="Connection to the 'costi_casa' query in the workbook." type="5" refreshedVersion="0" background="1">
    <dbPr connection="Provider=Microsoft.Mashup.OleDb.1;Data Source=$Workbook$;Location=costi_casa;Extended Properties=&quot;&quot;" command="SELECT * FROM [costi_casa]"/>
  </connection>
</connections>
</file>

<file path=xl/sharedStrings.xml><?xml version="1.0" encoding="utf-8"?>
<sst xmlns="http://schemas.openxmlformats.org/spreadsheetml/2006/main" count="40" uniqueCount="31">
  <si>
    <t>Superficie_mq</t>
  </si>
  <si>
    <t>Numero_Stanze</t>
  </si>
  <si>
    <t>Distanza_Centro_km</t>
  </si>
  <si>
    <t>Prezzo_Euro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</si>
  <si>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</si>
  <si>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</si>
  <si>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</si>
  <si>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</si>
  <si>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</si>
  <si>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</si>
  <si>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</si>
  <si>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</si>
  <si>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</si>
  <si>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</si>
  <si>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</si>
  <si>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</si>
  <si>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</si>
  <si>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</si>
  <si>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</si>
  <si>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</si>
  <si>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</si>
  <si>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</si>
  <si>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</si>
  <si>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</si>
  <si>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</si>
  <si>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</si>
  <si>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</si>
  <si>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</si>
  <si>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Prezzo_pred</t>
  </si>
  <si>
    <t>error</t>
  </si>
  <si>
    <t>error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</si>
</sst>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71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Continuous"/>
    </xf>
    <xf numFmtId="166" fontId="0" fillId="0" borderId="10" xfId="1" applyNumberFormat="1" applyFont="1" applyBorder="1"/>
    <xf numFmtId="166" fontId="0" fillId="0" borderId="0" xfId="1" applyNumberFormat="1" applyFont="1"/>
    <xf numFmtId="0" fontId="0" fillId="0" borderId="10" xfId="0" applyFill="1" applyBorder="1" applyAlignment="1"/>
    <xf numFmtId="1" fontId="0" fillId="0" borderId="10" xfId="0" applyNumberFormat="1" applyFill="1" applyBorder="1" applyAlignment="1"/>
    <xf numFmtId="0" fontId="0" fillId="33" borderId="13" xfId="0" applyFill="1" applyBorder="1"/>
    <xf numFmtId="1" fontId="0" fillId="0" borderId="0" xfId="0" applyNumberFormat="1"/>
    <xf numFmtId="171" fontId="0" fillId="0" borderId="0" xfId="2" applyNumberFormat="1" applyFont="1"/>
    <xf numFmtId="0" fontId="0" fillId="34" borderId="10" xfId="0" applyFill="1" applyBorder="1"/>
    <xf numFmtId="0" fontId="14" fillId="0" borderId="10" xfId="0" applyFont="1" applyFill="1" applyBorder="1" applyAlignme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E2AE-4BEA-477C-8BAE-3123735DB920}">
  <dimension ref="A1:I20"/>
  <sheetViews>
    <sheetView zoomScale="191" workbookViewId="0">
      <selection activeCell="A7" sqref="A7:B7"/>
    </sheetView>
  </sheetViews>
  <sheetFormatPr defaultRowHeight="14.6" x14ac:dyDescent="0.4"/>
  <cols>
    <col min="1" max="1" width="17.3046875" customWidth="1"/>
    <col min="2" max="2" width="9.3046875" bestFit="1" customWidth="1"/>
    <col min="3" max="4" width="11.84375" bestFit="1" customWidth="1"/>
    <col min="5" max="9" width="9.3046875" bestFit="1" customWidth="1"/>
  </cols>
  <sheetData>
    <row r="1" spans="1:9" x14ac:dyDescent="0.4">
      <c r="A1" t="s">
        <v>4</v>
      </c>
    </row>
    <row r="2" spans="1:9" ht="15" thickBot="1" x14ac:dyDescent="0.45"/>
    <row r="3" spans="1:9" x14ac:dyDescent="0.4">
      <c r="A3" s="6" t="s">
        <v>5</v>
      </c>
      <c r="B3" s="6"/>
    </row>
    <row r="4" spans="1:9" x14ac:dyDescent="0.4">
      <c r="A4" s="3" t="s">
        <v>6</v>
      </c>
      <c r="B4" s="3">
        <v>0.97580295239318482</v>
      </c>
    </row>
    <row r="5" spans="1:9" x14ac:dyDescent="0.4">
      <c r="A5" s="3" t="s">
        <v>7</v>
      </c>
      <c r="B5" s="3">
        <v>0.95219140189925611</v>
      </c>
    </row>
    <row r="6" spans="1:9" x14ac:dyDescent="0.4">
      <c r="A6" s="3" t="s">
        <v>8</v>
      </c>
      <c r="B6" s="3">
        <v>0.94820735205752749</v>
      </c>
    </row>
    <row r="7" spans="1:9" x14ac:dyDescent="0.4">
      <c r="A7" s="3" t="s">
        <v>9</v>
      </c>
      <c r="B7" s="3">
        <v>6936.0073997107147</v>
      </c>
    </row>
    <row r="8" spans="1:9" ht="15" thickBot="1" x14ac:dyDescent="0.45">
      <c r="A8" s="4" t="s">
        <v>10</v>
      </c>
      <c r="B8" s="4">
        <v>40</v>
      </c>
    </row>
    <row r="10" spans="1:9" ht="15" thickBot="1" x14ac:dyDescent="0.45">
      <c r="A10" t="s">
        <v>11</v>
      </c>
    </row>
    <row r="11" spans="1:9" x14ac:dyDescent="0.4">
      <c r="A11" s="5"/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</row>
    <row r="12" spans="1:9" x14ac:dyDescent="0.4">
      <c r="A12" s="3" t="s">
        <v>12</v>
      </c>
      <c r="B12" s="3">
        <v>3</v>
      </c>
      <c r="C12" s="3">
        <v>34493704848.641693</v>
      </c>
      <c r="D12" s="3">
        <v>11497901616.213898</v>
      </c>
      <c r="E12" s="3">
        <v>239.00087592431007</v>
      </c>
      <c r="F12" s="3">
        <v>8.1286422811787143E-24</v>
      </c>
    </row>
    <row r="13" spans="1:9" x14ac:dyDescent="0.4">
      <c r="A13" s="3" t="s">
        <v>13</v>
      </c>
      <c r="B13" s="3">
        <v>36</v>
      </c>
      <c r="C13" s="3">
        <v>1731895151.3583045</v>
      </c>
      <c r="D13" s="3">
        <v>48108198.648841791</v>
      </c>
      <c r="E13" s="3"/>
      <c r="F13" s="3"/>
    </row>
    <row r="14" spans="1:9" ht="15" thickBot="1" x14ac:dyDescent="0.45">
      <c r="A14" s="4" t="s">
        <v>14</v>
      </c>
      <c r="B14" s="4">
        <v>39</v>
      </c>
      <c r="C14" s="4">
        <v>36225600000</v>
      </c>
      <c r="D14" s="4"/>
      <c r="E14" s="4"/>
      <c r="F14" s="4"/>
    </row>
    <row r="15" spans="1:9" ht="15" thickBot="1" x14ac:dyDescent="0.45"/>
    <row r="16" spans="1:9" x14ac:dyDescent="0.4">
      <c r="A16" s="5"/>
      <c r="B16" s="5" t="s">
        <v>21</v>
      </c>
      <c r="C16" s="5" t="s">
        <v>9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26</v>
      </c>
      <c r="I16" s="5" t="s">
        <v>27</v>
      </c>
    </row>
    <row r="17" spans="1:9" x14ac:dyDescent="0.4">
      <c r="A17" s="3" t="s">
        <v>15</v>
      </c>
      <c r="B17" s="3">
        <v>81461.818378765136</v>
      </c>
      <c r="C17" s="3">
        <v>6029.3291311584144</v>
      </c>
      <c r="D17" s="3">
        <v>13.510925777427891</v>
      </c>
      <c r="E17" s="3">
        <v>1.1464017334164987E-15</v>
      </c>
      <c r="F17" s="3">
        <v>69233.772137926077</v>
      </c>
      <c r="G17" s="3">
        <v>93689.864619604195</v>
      </c>
      <c r="H17" s="3">
        <v>69233.772137926077</v>
      </c>
      <c r="I17" s="3">
        <v>93689.864619604195</v>
      </c>
    </row>
    <row r="18" spans="1:9" x14ac:dyDescent="0.4">
      <c r="A18" s="3" t="s">
        <v>0</v>
      </c>
      <c r="B18" s="3">
        <v>695.69665230862665</v>
      </c>
      <c r="C18" s="3">
        <v>189.53093624827227</v>
      </c>
      <c r="D18" s="3">
        <v>3.6706232031551447</v>
      </c>
      <c r="E18" s="3">
        <v>7.7866848158069269E-4</v>
      </c>
      <c r="F18" s="3">
        <v>311.31009750329719</v>
      </c>
      <c r="G18" s="3">
        <v>1080.0832071139562</v>
      </c>
      <c r="H18" s="3">
        <v>311.31009750329719</v>
      </c>
      <c r="I18" s="3">
        <v>1080.0832071139562</v>
      </c>
    </row>
    <row r="19" spans="1:9" x14ac:dyDescent="0.4">
      <c r="A19" s="3" t="s">
        <v>1</v>
      </c>
      <c r="B19" s="3">
        <v>18170.363157686341</v>
      </c>
      <c r="C19" s="3">
        <v>3074.7471259217809</v>
      </c>
      <c r="D19" s="3">
        <v>5.9095471638953176</v>
      </c>
      <c r="E19" s="3">
        <v>9.1792905696280327E-7</v>
      </c>
      <c r="F19" s="3">
        <v>11934.486957072491</v>
      </c>
      <c r="G19" s="3">
        <v>24406.23935830019</v>
      </c>
      <c r="H19" s="3">
        <v>11934.486957072491</v>
      </c>
      <c r="I19" s="3">
        <v>24406.23935830019</v>
      </c>
    </row>
    <row r="20" spans="1:9" ht="15" thickBot="1" x14ac:dyDescent="0.45">
      <c r="A20" s="4" t="s">
        <v>2</v>
      </c>
      <c r="B20" s="4">
        <v>-4097.6447159134959</v>
      </c>
      <c r="C20" s="4">
        <v>1059.1557538396182</v>
      </c>
      <c r="D20" s="4">
        <v>-3.8687838885441002</v>
      </c>
      <c r="E20" s="4">
        <v>4.4134083185099561E-4</v>
      </c>
      <c r="F20" s="4">
        <v>-6245.7121463795538</v>
      </c>
      <c r="G20" s="4">
        <v>-1949.577285447438</v>
      </c>
      <c r="H20" s="4">
        <v>-6245.7121463795538</v>
      </c>
      <c r="I20" s="4">
        <v>-1949.577285447438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430F-058B-4A5C-88F8-E5C5648971A8}">
  <dimension ref="A1:J41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6" x14ac:dyDescent="0.4"/>
  <cols>
    <col min="1" max="1" width="12.3046875" bestFit="1" customWidth="1"/>
    <col min="2" max="2" width="11.4609375" customWidth="1"/>
    <col min="3" max="3" width="12.61328125" customWidth="1"/>
    <col min="4" max="4" width="13.3046875" customWidth="1"/>
    <col min="5" max="5" width="14.61328125" bestFit="1" customWidth="1"/>
    <col min="6" max="6" width="9.3828125" bestFit="1" customWidth="1"/>
    <col min="9" max="9" width="16.7656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4" t="s">
        <v>3</v>
      </c>
      <c r="E1" s="1" t="s">
        <v>28</v>
      </c>
      <c r="F1" s="11" t="s">
        <v>29</v>
      </c>
      <c r="G1" s="11" t="s">
        <v>30</v>
      </c>
      <c r="H1" s="13"/>
    </row>
    <row r="2" spans="1:10" x14ac:dyDescent="0.4">
      <c r="A2" s="2">
        <v>45</v>
      </c>
      <c r="B2" s="2">
        <v>1</v>
      </c>
      <c r="C2" s="2">
        <v>2</v>
      </c>
      <c r="D2" s="7">
        <v>125000</v>
      </c>
      <c r="E2" s="8">
        <f>$J$2+A2*$J$3+B2*$J$4+C2*$J$5</f>
        <v>122743.24145851268</v>
      </c>
      <c r="F2" s="12">
        <f>ABS(D2-E2)</f>
        <v>2256.7585414873174</v>
      </c>
      <c r="G2" s="13">
        <f>+F2/D2</f>
        <v>1.8054068331898539E-2</v>
      </c>
      <c r="H2" s="13"/>
      <c r="I2" s="9" t="s">
        <v>15</v>
      </c>
      <c r="J2" s="9">
        <v>81461.818378765136</v>
      </c>
    </row>
    <row r="3" spans="1:10" x14ac:dyDescent="0.4">
      <c r="A3" s="2">
        <v>55</v>
      </c>
      <c r="B3" s="2">
        <v>2</v>
      </c>
      <c r="C3" s="2">
        <v>3</v>
      </c>
      <c r="D3" s="7">
        <v>145000</v>
      </c>
      <c r="E3" s="8">
        <f t="shared" ref="E3:E41" si="0">$J$2+A3*$J$3+B3*$J$4+C3*$J$5</f>
        <v>143772.9264233718</v>
      </c>
      <c r="F3" s="12">
        <f t="shared" ref="F3:F41" si="1">ABS(D3-E3)</f>
        <v>1227.0735766282014</v>
      </c>
      <c r="G3" s="13">
        <f t="shared" ref="G3:G41" si="2">+F3/D3</f>
        <v>8.4625763905393208E-3</v>
      </c>
      <c r="H3" s="13"/>
      <c r="I3" s="9" t="s">
        <v>0</v>
      </c>
      <c r="J3" s="9">
        <v>695.69665230862665</v>
      </c>
    </row>
    <row r="4" spans="1:10" x14ac:dyDescent="0.4">
      <c r="A4" s="2">
        <v>65</v>
      </c>
      <c r="B4" s="2">
        <v>2</v>
      </c>
      <c r="C4" s="2">
        <v>5</v>
      </c>
      <c r="D4" s="7">
        <v>135000</v>
      </c>
      <c r="E4" s="8">
        <f t="shared" si="0"/>
        <v>142534.60351463108</v>
      </c>
      <c r="F4" s="12">
        <f t="shared" si="1"/>
        <v>7534.6035146310751</v>
      </c>
      <c r="G4" s="13">
        <f t="shared" si="2"/>
        <v>5.581187788615611E-2</v>
      </c>
      <c r="H4" s="13"/>
      <c r="I4" s="9" t="s">
        <v>1</v>
      </c>
      <c r="J4" s="9">
        <v>18170.363157686341</v>
      </c>
    </row>
    <row r="5" spans="1:10" x14ac:dyDescent="0.4">
      <c r="A5" s="2">
        <v>75</v>
      </c>
      <c r="B5" s="2">
        <v>3</v>
      </c>
      <c r="C5" s="2">
        <v>4</v>
      </c>
      <c r="D5" s="7">
        <v>168000</v>
      </c>
      <c r="E5" s="8">
        <f t="shared" si="0"/>
        <v>171759.57791131714</v>
      </c>
      <c r="F5" s="12">
        <f t="shared" si="1"/>
        <v>3759.5779113171448</v>
      </c>
      <c r="G5" s="13">
        <f t="shared" si="2"/>
        <v>2.2378439948316339E-2</v>
      </c>
      <c r="H5" s="13"/>
      <c r="I5" s="9" t="s">
        <v>2</v>
      </c>
      <c r="J5" s="9">
        <v>-4097.6447159134959</v>
      </c>
    </row>
    <row r="6" spans="1:10" x14ac:dyDescent="0.4">
      <c r="A6" s="2">
        <v>85</v>
      </c>
      <c r="B6" s="2">
        <v>3</v>
      </c>
      <c r="C6" s="2">
        <v>7</v>
      </c>
      <c r="D6" s="7">
        <v>155000</v>
      </c>
      <c r="E6" s="8">
        <f t="shared" si="0"/>
        <v>166423.61028666297</v>
      </c>
      <c r="F6" s="12">
        <f t="shared" si="1"/>
        <v>11423.610286662966</v>
      </c>
      <c r="G6" s="13">
        <f t="shared" si="2"/>
        <v>7.3700711526857851E-2</v>
      </c>
      <c r="H6" s="13"/>
      <c r="I6" s="15" t="s">
        <v>9</v>
      </c>
      <c r="J6" s="10">
        <v>6936.0073997107147</v>
      </c>
    </row>
    <row r="7" spans="1:10" x14ac:dyDescent="0.4">
      <c r="A7" s="2">
        <v>95</v>
      </c>
      <c r="B7" s="2">
        <v>3</v>
      </c>
      <c r="C7" s="2">
        <v>8</v>
      </c>
      <c r="D7" s="7">
        <v>165000</v>
      </c>
      <c r="E7" s="8">
        <f t="shared" si="0"/>
        <v>169282.93209383573</v>
      </c>
      <c r="F7" s="12">
        <f t="shared" si="1"/>
        <v>4282.9320938357268</v>
      </c>
      <c r="G7" s="13">
        <f t="shared" si="2"/>
        <v>2.5957164205065011E-2</v>
      </c>
      <c r="H7" s="13"/>
    </row>
    <row r="8" spans="1:10" x14ac:dyDescent="0.4">
      <c r="A8" s="2">
        <v>105</v>
      </c>
      <c r="B8" s="2">
        <v>4</v>
      </c>
      <c r="C8" s="2">
        <v>6</v>
      </c>
      <c r="D8" s="7">
        <v>195000</v>
      </c>
      <c r="E8" s="8">
        <f t="shared" si="0"/>
        <v>202605.55120643531</v>
      </c>
      <c r="F8" s="12">
        <f t="shared" si="1"/>
        <v>7605.5512064353097</v>
      </c>
      <c r="G8" s="13">
        <f t="shared" si="2"/>
        <v>3.9002826699668258E-2</v>
      </c>
      <c r="H8" s="13"/>
    </row>
    <row r="9" spans="1:10" x14ac:dyDescent="0.4">
      <c r="A9" s="2">
        <v>120</v>
      </c>
      <c r="B9" s="2">
        <v>4</v>
      </c>
      <c r="C9" s="2">
        <v>10</v>
      </c>
      <c r="D9" s="7">
        <v>185000</v>
      </c>
      <c r="E9" s="8">
        <f t="shared" si="0"/>
        <v>196650.42212741074</v>
      </c>
      <c r="F9" s="12">
        <f t="shared" si="1"/>
        <v>11650.42212741074</v>
      </c>
      <c r="G9" s="13">
        <f t="shared" si="2"/>
        <v>6.2975254742760764E-2</v>
      </c>
      <c r="H9" s="13"/>
    </row>
    <row r="10" spans="1:10" x14ac:dyDescent="0.4">
      <c r="A10" s="2">
        <v>135</v>
      </c>
      <c r="B10" s="2">
        <v>5</v>
      </c>
      <c r="C10" s="2">
        <v>12</v>
      </c>
      <c r="D10" s="7">
        <v>210000</v>
      </c>
      <c r="E10" s="8">
        <f t="shared" si="0"/>
        <v>217060.94563789948</v>
      </c>
      <c r="F10" s="12">
        <f t="shared" si="1"/>
        <v>7060.9456378994801</v>
      </c>
      <c r="G10" s="13">
        <f t="shared" si="2"/>
        <v>3.362355065666419E-2</v>
      </c>
      <c r="H10" s="13"/>
    </row>
    <row r="11" spans="1:10" x14ac:dyDescent="0.4">
      <c r="A11" s="2">
        <v>150</v>
      </c>
      <c r="B11" s="2">
        <v>5</v>
      </c>
      <c r="C11" s="2">
        <v>15</v>
      </c>
      <c r="D11" s="7">
        <v>205000</v>
      </c>
      <c r="E11" s="8">
        <f t="shared" si="0"/>
        <v>215203.46127478839</v>
      </c>
      <c r="F11" s="12">
        <f t="shared" si="1"/>
        <v>10203.461274788395</v>
      </c>
      <c r="G11" s="13">
        <f t="shared" si="2"/>
        <v>4.9772981828236071E-2</v>
      </c>
      <c r="H11" s="13"/>
    </row>
    <row r="12" spans="1:10" x14ac:dyDescent="0.4">
      <c r="A12" s="2">
        <v>50</v>
      </c>
      <c r="B12" s="2">
        <v>1</v>
      </c>
      <c r="C12" s="2">
        <v>1</v>
      </c>
      <c r="D12" s="7">
        <v>145000</v>
      </c>
      <c r="E12" s="8">
        <f t="shared" si="0"/>
        <v>130319.36943596932</v>
      </c>
      <c r="F12" s="12">
        <f t="shared" si="1"/>
        <v>14680.630564030682</v>
      </c>
      <c r="G12" s="13">
        <f t="shared" si="2"/>
        <v>0.10124572802779781</v>
      </c>
      <c r="H12" s="13"/>
    </row>
    <row r="13" spans="1:10" x14ac:dyDescent="0.4">
      <c r="A13" s="2">
        <v>60</v>
      </c>
      <c r="B13" s="2">
        <v>2</v>
      </c>
      <c r="C13" s="2">
        <v>2</v>
      </c>
      <c r="D13" s="7">
        <v>165000</v>
      </c>
      <c r="E13" s="8">
        <f t="shared" si="0"/>
        <v>151349.05440082841</v>
      </c>
      <c r="F13" s="12">
        <f t="shared" si="1"/>
        <v>13650.945599171595</v>
      </c>
      <c r="G13" s="13">
        <f t="shared" si="2"/>
        <v>8.2733003631343005E-2</v>
      </c>
      <c r="H13" s="13"/>
    </row>
    <row r="14" spans="1:10" x14ac:dyDescent="0.4">
      <c r="A14" s="2">
        <v>70</v>
      </c>
      <c r="B14" s="2">
        <v>2</v>
      </c>
      <c r="C14" s="2">
        <v>4</v>
      </c>
      <c r="D14" s="7">
        <v>150000</v>
      </c>
      <c r="E14" s="8">
        <f t="shared" si="0"/>
        <v>150110.73149208768</v>
      </c>
      <c r="F14" s="12">
        <f t="shared" si="1"/>
        <v>110.73149208768154</v>
      </c>
      <c r="G14" s="13">
        <f t="shared" si="2"/>
        <v>7.3820994725121028E-4</v>
      </c>
      <c r="H14" s="13"/>
    </row>
    <row r="15" spans="1:10" x14ac:dyDescent="0.4">
      <c r="A15" s="2">
        <v>80</v>
      </c>
      <c r="B15" s="2">
        <v>3</v>
      </c>
      <c r="C15" s="2">
        <v>5</v>
      </c>
      <c r="D15" s="7">
        <v>175000</v>
      </c>
      <c r="E15" s="8">
        <f t="shared" si="0"/>
        <v>171140.41645694681</v>
      </c>
      <c r="F15" s="12">
        <f t="shared" si="1"/>
        <v>3859.5835430531879</v>
      </c>
      <c r="G15" s="13">
        <f t="shared" si="2"/>
        <v>2.2054763103161075E-2</v>
      </c>
      <c r="H15" s="13"/>
    </row>
    <row r="16" spans="1:10" x14ac:dyDescent="0.4">
      <c r="A16" s="2">
        <v>90</v>
      </c>
      <c r="B16" s="2">
        <v>3</v>
      </c>
      <c r="C16" s="2">
        <v>6</v>
      </c>
      <c r="D16" s="7">
        <v>170000</v>
      </c>
      <c r="E16" s="8">
        <f t="shared" si="0"/>
        <v>173999.7382641196</v>
      </c>
      <c r="F16" s="12">
        <f t="shared" si="1"/>
        <v>3999.7382641196018</v>
      </c>
      <c r="G16" s="13">
        <f t="shared" si="2"/>
        <v>2.3527872141880009E-2</v>
      </c>
      <c r="H16" s="13"/>
    </row>
    <row r="17" spans="1:8" x14ac:dyDescent="0.4">
      <c r="A17" s="2">
        <v>100</v>
      </c>
      <c r="B17" s="2">
        <v>4</v>
      </c>
      <c r="C17" s="2">
        <v>8</v>
      </c>
      <c r="D17" s="7">
        <v>190000</v>
      </c>
      <c r="E17" s="8">
        <f t="shared" si="0"/>
        <v>190931.77851306522</v>
      </c>
      <c r="F17" s="12">
        <f t="shared" si="1"/>
        <v>931.77851306521916</v>
      </c>
      <c r="G17" s="13">
        <f t="shared" si="2"/>
        <v>4.9040974371853639E-3</v>
      </c>
      <c r="H17" s="13"/>
    </row>
    <row r="18" spans="1:8" x14ac:dyDescent="0.4">
      <c r="A18" s="2">
        <v>110</v>
      </c>
      <c r="B18" s="2">
        <v>4</v>
      </c>
      <c r="C18" s="2">
        <v>9</v>
      </c>
      <c r="D18" s="7">
        <v>200000</v>
      </c>
      <c r="E18" s="8">
        <f t="shared" si="0"/>
        <v>193791.10032023795</v>
      </c>
      <c r="F18" s="12">
        <f t="shared" si="1"/>
        <v>6208.8996797620493</v>
      </c>
      <c r="G18" s="13">
        <f t="shared" si="2"/>
        <v>3.1044498398810245E-2</v>
      </c>
      <c r="H18" s="13"/>
    </row>
    <row r="19" spans="1:8" x14ac:dyDescent="0.4">
      <c r="A19" s="2">
        <v>125</v>
      </c>
      <c r="B19" s="2">
        <v>4</v>
      </c>
      <c r="C19" s="2">
        <v>11</v>
      </c>
      <c r="D19" s="7">
        <v>195000</v>
      </c>
      <c r="E19" s="8">
        <f t="shared" si="0"/>
        <v>196031.26067304035</v>
      </c>
      <c r="F19" s="12">
        <f t="shared" si="1"/>
        <v>1031.2606730403495</v>
      </c>
      <c r="G19" s="13">
        <f t="shared" si="2"/>
        <v>5.2885162720017927E-3</v>
      </c>
      <c r="H19" s="13"/>
    </row>
    <row r="20" spans="1:8" x14ac:dyDescent="0.4">
      <c r="A20" s="2">
        <v>140</v>
      </c>
      <c r="B20" s="2">
        <v>5</v>
      </c>
      <c r="C20" s="2">
        <v>13</v>
      </c>
      <c r="D20" s="7">
        <v>220000</v>
      </c>
      <c r="E20" s="8">
        <f t="shared" si="0"/>
        <v>216441.78418352915</v>
      </c>
      <c r="F20" s="12">
        <f t="shared" si="1"/>
        <v>3558.2158164708526</v>
      </c>
      <c r="G20" s="13">
        <f t="shared" si="2"/>
        <v>1.6173708256685692E-2</v>
      </c>
      <c r="H20" s="13"/>
    </row>
    <row r="21" spans="1:8" x14ac:dyDescent="0.4">
      <c r="A21" s="2">
        <v>160</v>
      </c>
      <c r="B21" s="2">
        <v>5</v>
      </c>
      <c r="C21" s="2">
        <v>16</v>
      </c>
      <c r="D21" s="7">
        <v>215000</v>
      </c>
      <c r="E21" s="8">
        <f t="shared" si="0"/>
        <v>218062.78308196116</v>
      </c>
      <c r="F21" s="12">
        <f t="shared" si="1"/>
        <v>3062.7830819611554</v>
      </c>
      <c r="G21" s="13">
        <f t="shared" si="2"/>
        <v>1.4245502706796071E-2</v>
      </c>
      <c r="H21" s="13"/>
    </row>
    <row r="22" spans="1:8" x14ac:dyDescent="0.4">
      <c r="A22" s="2">
        <v>48</v>
      </c>
      <c r="B22" s="2">
        <v>1</v>
      </c>
      <c r="C22" s="2">
        <v>3</v>
      </c>
      <c r="D22" s="7">
        <v>118000</v>
      </c>
      <c r="E22" s="8">
        <f t="shared" si="0"/>
        <v>120732.68669952507</v>
      </c>
      <c r="F22" s="12">
        <f t="shared" si="1"/>
        <v>2732.6866995250748</v>
      </c>
      <c r="G22" s="13">
        <f t="shared" si="2"/>
        <v>2.315836186038199E-2</v>
      </c>
      <c r="H22" s="13"/>
    </row>
    <row r="23" spans="1:8" x14ac:dyDescent="0.4">
      <c r="A23" s="2">
        <v>58</v>
      </c>
      <c r="B23" s="2">
        <v>2</v>
      </c>
      <c r="C23" s="2">
        <v>4</v>
      </c>
      <c r="D23" s="7">
        <v>138000</v>
      </c>
      <c r="E23" s="8">
        <f t="shared" si="0"/>
        <v>141762.37166438418</v>
      </c>
      <c r="F23" s="12">
        <f t="shared" si="1"/>
        <v>3762.3716643841763</v>
      </c>
      <c r="G23" s="13">
        <f t="shared" si="2"/>
        <v>2.7263562785392582E-2</v>
      </c>
      <c r="H23" s="13"/>
    </row>
    <row r="24" spans="1:8" x14ac:dyDescent="0.4">
      <c r="A24" s="2">
        <v>68</v>
      </c>
      <c r="B24" s="2">
        <v>2</v>
      </c>
      <c r="C24" s="2">
        <v>6</v>
      </c>
      <c r="D24" s="7">
        <v>130000</v>
      </c>
      <c r="E24" s="8">
        <f t="shared" si="0"/>
        <v>140524.04875564348</v>
      </c>
      <c r="F24" s="12">
        <f t="shared" si="1"/>
        <v>10524.048755643482</v>
      </c>
      <c r="G24" s="13">
        <f t="shared" si="2"/>
        <v>8.095422119725755E-2</v>
      </c>
      <c r="H24" s="13"/>
    </row>
    <row r="25" spans="1:8" x14ac:dyDescent="0.4">
      <c r="A25" s="2">
        <v>78</v>
      </c>
      <c r="B25" s="2">
        <v>3</v>
      </c>
      <c r="C25" s="2">
        <v>7</v>
      </c>
      <c r="D25" s="7">
        <v>158000</v>
      </c>
      <c r="E25" s="8">
        <f t="shared" si="0"/>
        <v>161553.73372050255</v>
      </c>
      <c r="F25" s="12">
        <f t="shared" si="1"/>
        <v>3553.7337205025542</v>
      </c>
      <c r="G25" s="13">
        <f t="shared" si="2"/>
        <v>2.2491985572800976E-2</v>
      </c>
      <c r="H25" s="13"/>
    </row>
    <row r="26" spans="1:8" x14ac:dyDescent="0.4">
      <c r="A26" s="2">
        <v>88</v>
      </c>
      <c r="B26" s="2">
        <v>3</v>
      </c>
      <c r="C26" s="2">
        <v>8</v>
      </c>
      <c r="D26" s="7">
        <v>162000</v>
      </c>
      <c r="E26" s="8">
        <f t="shared" si="0"/>
        <v>164413.05552767534</v>
      </c>
      <c r="F26" s="12">
        <f t="shared" si="1"/>
        <v>2413.0555276753439</v>
      </c>
      <c r="G26" s="13">
        <f t="shared" si="2"/>
        <v>1.4895404491823111E-2</v>
      </c>
      <c r="H26" s="13"/>
    </row>
    <row r="27" spans="1:8" x14ac:dyDescent="0.4">
      <c r="A27" s="2">
        <v>98</v>
      </c>
      <c r="B27" s="2">
        <v>4</v>
      </c>
      <c r="C27" s="2">
        <v>9</v>
      </c>
      <c r="D27" s="7">
        <v>182000</v>
      </c>
      <c r="E27" s="8">
        <f t="shared" si="0"/>
        <v>185442.74049253445</v>
      </c>
      <c r="F27" s="12">
        <f t="shared" si="1"/>
        <v>3442.7404925344454</v>
      </c>
      <c r="G27" s="13">
        <f t="shared" si="2"/>
        <v>1.8916156552387063E-2</v>
      </c>
      <c r="H27" s="13"/>
    </row>
    <row r="28" spans="1:8" x14ac:dyDescent="0.4">
      <c r="A28" s="2">
        <v>108</v>
      </c>
      <c r="B28" s="2">
        <v>4</v>
      </c>
      <c r="C28" s="2">
        <v>10</v>
      </c>
      <c r="D28" s="7">
        <v>192000</v>
      </c>
      <c r="E28" s="8">
        <f t="shared" si="0"/>
        <v>188302.06229970721</v>
      </c>
      <c r="F28" s="12">
        <f t="shared" si="1"/>
        <v>3697.937700292794</v>
      </c>
      <c r="G28" s="13">
        <f t="shared" si="2"/>
        <v>1.9260092189024969E-2</v>
      </c>
      <c r="H28" s="13"/>
    </row>
    <row r="29" spans="1:8" x14ac:dyDescent="0.4">
      <c r="A29" s="2">
        <v>115</v>
      </c>
      <c r="B29" s="2">
        <v>4</v>
      </c>
      <c r="C29" s="2">
        <v>12</v>
      </c>
      <c r="D29" s="7">
        <v>188000</v>
      </c>
      <c r="E29" s="8">
        <f t="shared" si="0"/>
        <v>184976.64943404062</v>
      </c>
      <c r="F29" s="12">
        <f t="shared" si="1"/>
        <v>3023.3505659593793</v>
      </c>
      <c r="G29" s="13">
        <f t="shared" si="2"/>
        <v>1.6081651946592442E-2</v>
      </c>
      <c r="H29" s="13"/>
    </row>
    <row r="30" spans="1:8" x14ac:dyDescent="0.4">
      <c r="A30" s="2">
        <v>130</v>
      </c>
      <c r="B30" s="2">
        <v>5</v>
      </c>
      <c r="C30" s="2">
        <v>14</v>
      </c>
      <c r="D30" s="7">
        <v>208000</v>
      </c>
      <c r="E30" s="8">
        <f t="shared" si="0"/>
        <v>205387.17294452933</v>
      </c>
      <c r="F30" s="12">
        <f t="shared" si="1"/>
        <v>2612.8270554706687</v>
      </c>
      <c r="G30" s="13">
        <f t="shared" si="2"/>
        <v>1.2561668535916677E-2</v>
      </c>
      <c r="H30" s="13"/>
    </row>
    <row r="31" spans="1:8" x14ac:dyDescent="0.4">
      <c r="A31" s="2">
        <v>155</v>
      </c>
      <c r="B31" s="2">
        <v>5</v>
      </c>
      <c r="C31" s="2">
        <v>17</v>
      </c>
      <c r="D31" s="7">
        <v>212000</v>
      </c>
      <c r="E31" s="8">
        <f t="shared" si="0"/>
        <v>210486.65510450455</v>
      </c>
      <c r="F31" s="12">
        <f t="shared" si="1"/>
        <v>1513.3448954954511</v>
      </c>
      <c r="G31" s="13">
        <f t="shared" si="2"/>
        <v>7.1384193183747693E-3</v>
      </c>
      <c r="H31" s="13"/>
    </row>
    <row r="32" spans="1:8" x14ac:dyDescent="0.4">
      <c r="A32" s="2">
        <v>52</v>
      </c>
      <c r="B32" s="2">
        <v>1</v>
      </c>
      <c r="C32" s="2">
        <v>2</v>
      </c>
      <c r="D32" s="7">
        <v>132000</v>
      </c>
      <c r="E32" s="8">
        <f t="shared" si="0"/>
        <v>127613.11802467305</v>
      </c>
      <c r="F32" s="12">
        <f t="shared" si="1"/>
        <v>4386.881975326949</v>
      </c>
      <c r="G32" s="13">
        <f t="shared" si="2"/>
        <v>3.3233954358537494E-2</v>
      </c>
      <c r="H32" s="13"/>
    </row>
    <row r="33" spans="1:8" x14ac:dyDescent="0.4">
      <c r="A33" s="2">
        <v>62</v>
      </c>
      <c r="B33" s="2">
        <v>2</v>
      </c>
      <c r="C33" s="2">
        <v>3</v>
      </c>
      <c r="D33" s="7">
        <v>152000</v>
      </c>
      <c r="E33" s="8">
        <f t="shared" si="0"/>
        <v>148642.80298953218</v>
      </c>
      <c r="F33" s="12">
        <f t="shared" si="1"/>
        <v>3357.1970104678185</v>
      </c>
      <c r="G33" s="13">
        <f t="shared" si="2"/>
        <v>2.2086822437288281E-2</v>
      </c>
      <c r="H33" s="13"/>
    </row>
    <row r="34" spans="1:8" x14ac:dyDescent="0.4">
      <c r="A34" s="2">
        <v>72</v>
      </c>
      <c r="B34" s="2">
        <v>3</v>
      </c>
      <c r="C34" s="2">
        <v>5</v>
      </c>
      <c r="D34" s="7">
        <v>160000</v>
      </c>
      <c r="E34" s="8">
        <f t="shared" si="0"/>
        <v>165574.8432384778</v>
      </c>
      <c r="F34" s="12">
        <f t="shared" si="1"/>
        <v>5574.8432384777989</v>
      </c>
      <c r="G34" s="13">
        <f t="shared" si="2"/>
        <v>3.4842770240486244E-2</v>
      </c>
      <c r="H34" s="13"/>
    </row>
    <row r="35" spans="1:8" x14ac:dyDescent="0.4">
      <c r="A35" s="2">
        <v>82</v>
      </c>
      <c r="B35" s="2">
        <v>3</v>
      </c>
      <c r="C35" s="2">
        <v>6</v>
      </c>
      <c r="D35" s="7">
        <v>172000</v>
      </c>
      <c r="E35" s="8">
        <f t="shared" si="0"/>
        <v>168434.16504565056</v>
      </c>
      <c r="F35" s="12">
        <f t="shared" si="1"/>
        <v>3565.8349543494405</v>
      </c>
      <c r="G35" s="13">
        <f t="shared" si="2"/>
        <v>2.0731598571799074E-2</v>
      </c>
      <c r="H35" s="13"/>
    </row>
    <row r="36" spans="1:8" x14ac:dyDescent="0.4">
      <c r="A36" s="2">
        <v>92</v>
      </c>
      <c r="B36" s="2">
        <v>3</v>
      </c>
      <c r="C36" s="2">
        <v>7</v>
      </c>
      <c r="D36" s="7">
        <v>168000</v>
      </c>
      <c r="E36" s="8">
        <f t="shared" si="0"/>
        <v>171293.48685282332</v>
      </c>
      <c r="F36" s="12">
        <f t="shared" si="1"/>
        <v>3293.4868528233201</v>
      </c>
      <c r="G36" s="13">
        <f t="shared" si="2"/>
        <v>1.9604088409662618E-2</v>
      </c>
      <c r="H36" s="13"/>
    </row>
    <row r="37" spans="1:8" x14ac:dyDescent="0.4">
      <c r="A37" s="2">
        <v>102</v>
      </c>
      <c r="B37" s="2">
        <v>4</v>
      </c>
      <c r="C37" s="2">
        <v>8</v>
      </c>
      <c r="D37" s="7">
        <v>198000</v>
      </c>
      <c r="E37" s="8">
        <f t="shared" si="0"/>
        <v>192323.17181768245</v>
      </c>
      <c r="F37" s="12">
        <f t="shared" si="1"/>
        <v>5676.8281823175494</v>
      </c>
      <c r="G37" s="13">
        <f t="shared" si="2"/>
        <v>2.867084940564419E-2</v>
      </c>
      <c r="H37" s="13"/>
    </row>
    <row r="38" spans="1:8" x14ac:dyDescent="0.4">
      <c r="A38" s="2">
        <v>112</v>
      </c>
      <c r="B38" s="2">
        <v>4</v>
      </c>
      <c r="C38" s="2">
        <v>11</v>
      </c>
      <c r="D38" s="7">
        <v>195000</v>
      </c>
      <c r="E38" s="8">
        <f t="shared" si="0"/>
        <v>186987.20419302821</v>
      </c>
      <c r="F38" s="12">
        <f t="shared" si="1"/>
        <v>8012.7958069717861</v>
      </c>
      <c r="G38" s="13">
        <f t="shared" si="2"/>
        <v>4.1091260548573261E-2</v>
      </c>
      <c r="H38" s="13"/>
    </row>
    <row r="39" spans="1:8" x14ac:dyDescent="0.4">
      <c r="A39" s="2">
        <v>128</v>
      </c>
      <c r="B39" s="2">
        <v>5</v>
      </c>
      <c r="C39" s="2">
        <v>13</v>
      </c>
      <c r="D39" s="7">
        <v>218000</v>
      </c>
      <c r="E39" s="8">
        <f t="shared" si="0"/>
        <v>208093.42435582561</v>
      </c>
      <c r="F39" s="12">
        <f t="shared" si="1"/>
        <v>9906.575644174387</v>
      </c>
      <c r="G39" s="13">
        <f t="shared" si="2"/>
        <v>4.5443007542084343E-2</v>
      </c>
      <c r="H39" s="13"/>
    </row>
    <row r="40" spans="1:8" x14ac:dyDescent="0.4">
      <c r="A40" s="2">
        <v>145</v>
      </c>
      <c r="B40" s="2">
        <v>5</v>
      </c>
      <c r="C40" s="2">
        <v>15</v>
      </c>
      <c r="D40" s="7">
        <v>225000</v>
      </c>
      <c r="E40" s="8">
        <f t="shared" si="0"/>
        <v>211724.97801324524</v>
      </c>
      <c r="F40" s="12">
        <f t="shared" si="1"/>
        <v>13275.021986754757</v>
      </c>
      <c r="G40" s="13">
        <f t="shared" si="2"/>
        <v>5.900009771891003E-2</v>
      </c>
      <c r="H40" s="13"/>
    </row>
    <row r="41" spans="1:8" x14ac:dyDescent="0.4">
      <c r="A41" s="2">
        <v>165</v>
      </c>
      <c r="B41" s="2">
        <v>6</v>
      </c>
      <c r="C41" s="2">
        <v>18</v>
      </c>
      <c r="D41" s="7">
        <v>235000</v>
      </c>
      <c r="E41" s="8">
        <f t="shared" si="0"/>
        <v>231516.34006936365</v>
      </c>
      <c r="F41" s="12">
        <f t="shared" si="1"/>
        <v>3483.6599306363496</v>
      </c>
      <c r="G41" s="13">
        <f t="shared" si="2"/>
        <v>1.4824084811218509E-2</v>
      </c>
      <c r="H41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C5D6F-A9DA-4B71-A069-2AD10C4DB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costi_casa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2025-10-30T09:10:04Z</dcterms:created>
  <dcterms:modified xsi:type="dcterms:W3CDTF">2025-10-30T09:10:04Z</dcterms:modified>
</cp:coreProperties>
</file>